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Volumes/Desktop/JCK show/"/>
    </mc:Choice>
  </mc:AlternateContent>
  <bookViews>
    <workbookView xWindow="0" yWindow="460" windowWidth="40540" windowHeight="2102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1" l="1"/>
  <c r="G70" i="1"/>
  <c r="J64" i="1"/>
  <c r="G64" i="1"/>
  <c r="J72" i="1"/>
  <c r="G72" i="1"/>
  <c r="J77" i="1"/>
  <c r="G77" i="1"/>
  <c r="J76" i="1"/>
  <c r="G76" i="1"/>
  <c r="J75" i="1"/>
  <c r="G75" i="1"/>
  <c r="J74" i="1"/>
  <c r="G74" i="1"/>
  <c r="J73" i="1"/>
  <c r="G73" i="1"/>
  <c r="J71" i="1"/>
  <c r="G71" i="1"/>
  <c r="J69" i="1"/>
  <c r="G69" i="1"/>
  <c r="J68" i="1"/>
  <c r="G68" i="1"/>
  <c r="J67" i="1"/>
  <c r="G67" i="1"/>
  <c r="G66" i="1"/>
  <c r="J66" i="1"/>
  <c r="J65" i="1"/>
  <c r="G65" i="1"/>
  <c r="F57" i="1"/>
  <c r="F55" i="1"/>
  <c r="F54" i="1"/>
  <c r="F53" i="1"/>
  <c r="F52" i="1"/>
  <c r="F50" i="1"/>
  <c r="F49" i="1"/>
  <c r="F48" i="1"/>
  <c r="F47" i="1"/>
  <c r="F45" i="1"/>
  <c r="F46" i="1"/>
  <c r="J44" i="1"/>
  <c r="G44" i="1"/>
  <c r="J43" i="1"/>
  <c r="G43" i="1"/>
  <c r="F42" i="1"/>
  <c r="J40" i="1"/>
  <c r="G40" i="1"/>
  <c r="F40" i="1"/>
  <c r="J41" i="1"/>
  <c r="G41" i="1"/>
  <c r="F41" i="1"/>
  <c r="J39" i="1"/>
  <c r="G39" i="1"/>
  <c r="J38" i="1"/>
  <c r="G38" i="1"/>
  <c r="G37" i="1"/>
  <c r="G36" i="1"/>
  <c r="J35" i="1"/>
  <c r="G35" i="1"/>
  <c r="F34" i="1"/>
  <c r="F33" i="1"/>
  <c r="F32" i="1"/>
  <c r="F31" i="1"/>
  <c r="F30" i="1"/>
  <c r="F29" i="1"/>
  <c r="F28" i="1"/>
  <c r="F27" i="1"/>
  <c r="J28" i="1"/>
  <c r="G28" i="1"/>
  <c r="J27" i="1"/>
  <c r="H27" i="1"/>
  <c r="G27" i="1"/>
  <c r="H18" i="1"/>
  <c r="H19" i="1"/>
  <c r="H16" i="1"/>
  <c r="H17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</calcChain>
</file>

<file path=xl/sharedStrings.xml><?xml version="1.0" encoding="utf-8"?>
<sst xmlns="http://schemas.openxmlformats.org/spreadsheetml/2006/main" count="275" uniqueCount="204">
  <si>
    <t>Suppl. Item code</t>
  </si>
  <si>
    <t>Mewar Item code</t>
  </si>
  <si>
    <t>Image</t>
  </si>
  <si>
    <t>Description</t>
  </si>
  <si>
    <t>Ring size</t>
  </si>
  <si>
    <t>Gross Wt  gms</t>
  </si>
  <si>
    <t>Dia Wt cts</t>
  </si>
  <si>
    <t>C Stn Wt-cts</t>
  </si>
  <si>
    <t>Gold Wt.Gm</t>
  </si>
  <si>
    <t>No of Dia</t>
  </si>
  <si>
    <t>QTY</t>
  </si>
  <si>
    <t>Style code</t>
  </si>
  <si>
    <t>B08694Q</t>
  </si>
  <si>
    <t>B08887Q</t>
  </si>
  <si>
    <t>B09023Q</t>
  </si>
  <si>
    <t>E08325Q</t>
  </si>
  <si>
    <t>E08572Q</t>
  </si>
  <si>
    <t>E08573Q</t>
  </si>
  <si>
    <t>E08574Q</t>
  </si>
  <si>
    <t>E08577Q</t>
  </si>
  <si>
    <t>E08754Q</t>
  </si>
  <si>
    <t>E08770Q</t>
  </si>
  <si>
    <t>E08771Q</t>
  </si>
  <si>
    <t>E08784Q</t>
  </si>
  <si>
    <t>E08893Q</t>
  </si>
  <si>
    <t>E09125Q</t>
  </si>
  <si>
    <t>E09131F</t>
  </si>
  <si>
    <t>N08460FQ</t>
  </si>
  <si>
    <t>N08570FQ</t>
  </si>
  <si>
    <t>P08905Q</t>
  </si>
  <si>
    <t>P08915Q</t>
  </si>
  <si>
    <t>P08948Q</t>
  </si>
  <si>
    <t>P09001Q</t>
  </si>
  <si>
    <t>R08199Q</t>
  </si>
  <si>
    <t>R08718Q</t>
  </si>
  <si>
    <t>R08792FQ</t>
  </si>
  <si>
    <t>R08814Q</t>
  </si>
  <si>
    <t>R09072FQ</t>
  </si>
  <si>
    <t>T08463Q</t>
  </si>
  <si>
    <t>B08548F</t>
  </si>
  <si>
    <t>B08588FQ</t>
  </si>
  <si>
    <t>Size6</t>
  </si>
  <si>
    <t>size7</t>
  </si>
  <si>
    <t>Siz6</t>
  </si>
  <si>
    <t>R08457Q</t>
  </si>
  <si>
    <t>7.5"</t>
  </si>
  <si>
    <t>E08572Q</t>
    <phoneticPr fontId="6" type="noConversion"/>
  </si>
  <si>
    <t>E08573Q</t>
    <phoneticPr fontId="6" type="noConversion"/>
  </si>
  <si>
    <t>N09130FQ</t>
    <phoneticPr fontId="6" type="noConversion"/>
  </si>
  <si>
    <t>5.54</t>
    <phoneticPr fontId="6" type="noConversion"/>
  </si>
  <si>
    <t>5.43</t>
    <phoneticPr fontId="6" type="noConversion"/>
  </si>
  <si>
    <t>5.11</t>
    <phoneticPr fontId="6" type="noConversion"/>
  </si>
  <si>
    <t>5.31</t>
    <phoneticPr fontId="6" type="noConversion"/>
  </si>
  <si>
    <t>5.42</t>
    <phoneticPr fontId="6" type="noConversion"/>
  </si>
  <si>
    <t>14YB481</t>
  </si>
  <si>
    <t>14RB481</t>
  </si>
  <si>
    <t>14WB481</t>
  </si>
  <si>
    <t>14YB482</t>
  </si>
  <si>
    <t>14RB482</t>
  </si>
  <si>
    <t>14WB482</t>
  </si>
  <si>
    <t>14YB483</t>
  </si>
  <si>
    <t>14RB483</t>
  </si>
  <si>
    <t>14YB484</t>
  </si>
  <si>
    <t>14YB485</t>
  </si>
  <si>
    <t>14YB486</t>
  </si>
  <si>
    <t>14WE402</t>
  </si>
  <si>
    <t>14YE403</t>
  </si>
  <si>
    <t>14RE403</t>
  </si>
  <si>
    <t>14YE404</t>
  </si>
  <si>
    <t>14RE404</t>
  </si>
  <si>
    <t>14YE405</t>
  </si>
  <si>
    <t>14RE405</t>
  </si>
  <si>
    <t>14YE406</t>
  </si>
  <si>
    <t>14RE406</t>
  </si>
  <si>
    <t>14YE407</t>
  </si>
  <si>
    <t>14RE407</t>
  </si>
  <si>
    <t>14WE407</t>
  </si>
  <si>
    <t>14YE408</t>
  </si>
  <si>
    <t>14YE409</t>
  </si>
  <si>
    <t>14YE410</t>
  </si>
  <si>
    <t>14RE410</t>
  </si>
  <si>
    <t>14YE411</t>
  </si>
  <si>
    <t>14YE412</t>
  </si>
  <si>
    <t>14RE412</t>
  </si>
  <si>
    <t>14YE413</t>
  </si>
  <si>
    <t>14RE413</t>
  </si>
  <si>
    <t>14WE413</t>
  </si>
  <si>
    <t>14YN1154</t>
  </si>
  <si>
    <t>14RN1154</t>
  </si>
  <si>
    <t>14WN1154</t>
  </si>
  <si>
    <t>14YN1155</t>
  </si>
  <si>
    <t>14RN1155</t>
  </si>
  <si>
    <t>14YN1156</t>
  </si>
  <si>
    <t>14RN1156</t>
  </si>
  <si>
    <t>14YC266</t>
  </si>
  <si>
    <t>14YC267</t>
  </si>
  <si>
    <t>14WC267</t>
  </si>
  <si>
    <t>14YC268</t>
  </si>
  <si>
    <t>14WC268</t>
  </si>
  <si>
    <t>14YC269</t>
  </si>
  <si>
    <t>14RC269</t>
  </si>
  <si>
    <t>14WC269</t>
  </si>
  <si>
    <t>14YR918-6</t>
  </si>
  <si>
    <t>14YR918-7</t>
  </si>
  <si>
    <t>14WR918-6</t>
  </si>
  <si>
    <t>14WR918-7</t>
  </si>
  <si>
    <t>14RR918-6</t>
  </si>
  <si>
    <t>14RR918-7</t>
  </si>
  <si>
    <t>14YR919-6</t>
  </si>
  <si>
    <t>14YR919-7</t>
  </si>
  <si>
    <t>14RR919-6</t>
  </si>
  <si>
    <t>14RR919-7</t>
  </si>
  <si>
    <t>14WR919-6</t>
  </si>
  <si>
    <t>14WR919-7</t>
  </si>
  <si>
    <t>14YR920-6</t>
  </si>
  <si>
    <t>14YR920-7</t>
  </si>
  <si>
    <t>14YR921-6</t>
  </si>
  <si>
    <t>14YR921-7</t>
  </si>
  <si>
    <t>14RR921-7</t>
  </si>
  <si>
    <t>14WR921-7</t>
  </si>
  <si>
    <t>14RR921-6</t>
  </si>
  <si>
    <t>14WR921-6</t>
  </si>
  <si>
    <t>14YR922-6</t>
  </si>
  <si>
    <t>14YR922-7</t>
  </si>
  <si>
    <t>14YR923-6</t>
  </si>
  <si>
    <t>14YR923-7</t>
  </si>
  <si>
    <t>14RR923-6</t>
  </si>
  <si>
    <t>14RR923-7</t>
  </si>
  <si>
    <t>14WR923-6</t>
  </si>
  <si>
    <t>14WR923-7</t>
  </si>
  <si>
    <t>14K WG &amp; Dia  - 4 butterfly Ring - Size 7</t>
  </si>
  <si>
    <t>14K WG &amp; Dia  - 4 butterfly Ring - Size 6</t>
  </si>
  <si>
    <t>14K RG &amp; Dia  - 4 butterfly Ring - Size 7</t>
  </si>
  <si>
    <t>14K RG &amp; Dia  - 4 butterfly Ring - Size 6</t>
  </si>
  <si>
    <t>14K YG &amp; Dia  - 4 butterfly Ring - Size 7</t>
  </si>
  <si>
    <t>14K YG &amp; Dia  - 4 butterfly Ring - Size 6</t>
  </si>
  <si>
    <t>14K YG &amp; Dia  Leaf ring - Size 7</t>
  </si>
  <si>
    <t>14K WG Dia Bangle</t>
  </si>
  <si>
    <t>14K WG &amp; Dia  - 17x6 Blue Topaz Earr</t>
  </si>
  <si>
    <t>14K WG &amp; Dia - 6x8 Octa Lab Studs</t>
  </si>
  <si>
    <t>14K WG &amp; Dia  - 6mm Heart Studs</t>
  </si>
  <si>
    <t>14K WG &amp; Dia  - 11x11 Butterfly neckalce 16+2"</t>
  </si>
  <si>
    <t>14K WG &amp; Dia - 14x16 Octopus charm</t>
  </si>
  <si>
    <t>14K WG &amp; Dia  - 10mm Paw Print charm</t>
  </si>
  <si>
    <t>14K WG &amp; Dia -  13mm Jew. Star of david charm'</t>
  </si>
  <si>
    <t>14K WG &amp; Dia - 2 cross Ring - Size 6</t>
  </si>
  <si>
    <t>14K WG &amp; Dia - 2 cross Ring - Size 7</t>
  </si>
  <si>
    <t>14K WG &amp; Dia - Nail Ring - Size 6</t>
  </si>
  <si>
    <t>14K WG &amp; Dia - Nail Ring - Size 7</t>
  </si>
  <si>
    <t>14K WG &amp; Dia - Infinity band Size 6</t>
  </si>
  <si>
    <t>14K WG &amp; Dia - Infinity band Size 7</t>
  </si>
  <si>
    <t>14K RG Dia Bangle</t>
  </si>
  <si>
    <t>14K RG &amp; Dia open Bangle with W.Topaz</t>
  </si>
  <si>
    <t>14K RG &amp; Dia - 2.75" Dblet Opal Earr</t>
  </si>
  <si>
    <t>14K RG &amp; Dia Top / Rose 2.75" earr</t>
  </si>
  <si>
    <t>14K RG &amp; Dia Top / B Topaz  2.5" earr</t>
  </si>
  <si>
    <t>14K RG &amp; Dia Topaz 2.75" earr</t>
  </si>
  <si>
    <t>14K RG &amp; Dia - 6x8 Octa Lab Studs</t>
  </si>
  <si>
    <t>14K RG &amp; Dia - 12mm Star Studs with 3mm Turq</t>
  </si>
  <si>
    <t xml:space="preserve">14K RG &amp; Dia - 4mm Triangle Lab Studs </t>
  </si>
  <si>
    <t>14K RG &amp; Dia  - 6mm Heart Studs</t>
  </si>
  <si>
    <t>14K RG &amp; Dia  - 11x11 Butterfly neckalce 16+2"</t>
  </si>
  <si>
    <t>14K RG &amp; Dia - Necklcae 15x35 B onyx with Charms 30"</t>
  </si>
  <si>
    <t>14K RG &amp; Dia  - Bolo 8mm Heart Neckalce 30"</t>
  </si>
  <si>
    <t>14K RG &amp; Dia -  13mm Jew. Star of david charm'</t>
  </si>
  <si>
    <t>14K RG &amp; Dia - 2 cross Ring - Size 6</t>
  </si>
  <si>
    <t>14K RG &amp; Dia - 2 cross Ring - Size 7</t>
  </si>
  <si>
    <t>14K RG &amp; Dia - Nail Ring - Size 6</t>
  </si>
  <si>
    <t>14K RG &amp; Dia - Nail Ring - Size 7</t>
  </si>
  <si>
    <t>14K RG &amp; Dia - Infinity band Size 6</t>
  </si>
  <si>
    <t>14K RG &amp; Dia - Infinity band Size 7</t>
  </si>
  <si>
    <t>14K YG Dia Bangle</t>
  </si>
  <si>
    <t>14K YG &amp; Dia open Bangle with W.Topaz</t>
  </si>
  <si>
    <t>14K YG Dia &amp; 2.8 Emerald bangle 58x48</t>
  </si>
  <si>
    <t>14K YG &amp; Dia Bangle 55x47mm</t>
  </si>
  <si>
    <t>14K YG &amp; Dia 9mm wide link Bracelet 7.5"</t>
  </si>
  <si>
    <t>14K YG &amp; Dia - 2.75" Dblet Opal Earr</t>
  </si>
  <si>
    <t>14K YG &amp; Dia Top / Rose 2.75" earr</t>
  </si>
  <si>
    <t>14K YG &amp; Dia Top / B Topaz  2.5" earr</t>
  </si>
  <si>
    <t>14K YG &amp; Dia Topaz 2.75" earr</t>
  </si>
  <si>
    <t>14K YG &amp; Dia - 6x8 Octa Lab Studs</t>
  </si>
  <si>
    <t>14K YG &amp; Dia - 5x3 B Sapphire 1.5"long</t>
  </si>
  <si>
    <t>14K YG &amp; Dia - 5x3 Emerald 1.5"long</t>
  </si>
  <si>
    <t>14K YG &amp; Dia - 12mm Star Studs with 3mm Turq</t>
  </si>
  <si>
    <t>14K YG &amp; Blue Sapphire 12x7mm Butterfly studs</t>
  </si>
  <si>
    <t xml:space="preserve">14K YG &amp; Dia - 4mm Triangle Lab Studs </t>
  </si>
  <si>
    <t>14K YG &amp; Dia  - 6mm Heart Studs</t>
  </si>
  <si>
    <t>14K YG &amp; Dia  - 11x11 Butterfly neckalce 16+2"</t>
  </si>
  <si>
    <t>14K YG &amp; Dia - Necklcae 15x35 B onyx with Charms 30"</t>
  </si>
  <si>
    <t>14K YG &amp; Dia  - Bolo 8mm Heart Neckalce 30"</t>
  </si>
  <si>
    <t xml:space="preserve">14K YG &amp; Tsavorite 15.5x6mm Cactus Charm </t>
  </si>
  <si>
    <t>14K YG &amp; Dia - 14x16 Octopus charm</t>
  </si>
  <si>
    <t>14K YG &amp; Dia  - 10mm Paw Print charm</t>
  </si>
  <si>
    <t>14K YG &amp; Dia -  13mm Jew. Star of david charm'</t>
  </si>
  <si>
    <t>14K YG &amp; Dia - 2 cross Ring - Size 6</t>
  </si>
  <si>
    <t>14K YG &amp; Dia - 2 cross Ring - Size 7</t>
  </si>
  <si>
    <t>14K YG &amp; Dia - Nail Ring - Size 6</t>
  </si>
  <si>
    <t>14K YG &amp; Dia - Nail Ring - Size 7</t>
  </si>
  <si>
    <t>14K YG &amp; Dia Emerald Band - Size 6</t>
  </si>
  <si>
    <t>14K YG &amp; Dia Emerald Band - Size 7</t>
  </si>
  <si>
    <t>14K YG &amp; Dia - Infinity band Size 6</t>
  </si>
  <si>
    <t>14K YG &amp; Dia - Infinity band Size 7</t>
  </si>
  <si>
    <t>14K YG &amp; Dia  Leaf ring - Size 6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</si>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</sst>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9</xdr:row>
      <xdr:rowOff>266700</xdr:rowOff>
    </xdr:from>
    <xdr:to>
      <xdr:col>2</xdr:col>
      <xdr:colOff>1208993</xdr:colOff>
      <xdr:row>9</xdr:row>
      <xdr:rowOff>683856</xdr:rowOff>
    </xdr:to>
    <xdr:pic>
      <xdr:nvPicPr>
        <xdr:cNvPr id="2" name="Picture 454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4543425"/>
          <a:ext cx="1047068" cy="417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219075</xdr:colOff>
      <xdr:row>1</xdr:row>
      <xdr:rowOff>171180</xdr:rowOff>
    </xdr:from>
    <xdr:to>
      <xdr:col>2</xdr:col>
      <xdr:colOff>1104900</xdr:colOff>
      <xdr:row>1</xdr:row>
      <xdr:rowOff>720984</xdr:rowOff>
    </xdr:to>
    <xdr:pic>
      <xdr:nvPicPr>
        <xdr:cNvPr id="3" name="Picture 452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742680"/>
          <a:ext cx="885825" cy="549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4</xdr:row>
      <xdr:rowOff>193564</xdr:rowOff>
    </xdr:from>
    <xdr:to>
      <xdr:col>2</xdr:col>
      <xdr:colOff>1039536</xdr:colOff>
      <xdr:row>4</xdr:row>
      <xdr:rowOff>800878</xdr:rowOff>
    </xdr:to>
    <xdr:pic>
      <xdr:nvPicPr>
        <xdr:cNvPr id="4" name="Picture 4531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1698514"/>
          <a:ext cx="829986" cy="60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7</xdr:row>
      <xdr:rowOff>217554</xdr:rowOff>
    </xdr:from>
    <xdr:to>
      <xdr:col>2</xdr:col>
      <xdr:colOff>1105774</xdr:colOff>
      <xdr:row>7</xdr:row>
      <xdr:rowOff>581608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3570354"/>
          <a:ext cx="848599" cy="364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10</xdr:row>
      <xdr:rowOff>142875</xdr:rowOff>
    </xdr:from>
    <xdr:to>
      <xdr:col>2</xdr:col>
      <xdr:colOff>1181100</xdr:colOff>
      <xdr:row>10</xdr:row>
      <xdr:rowOff>790575</xdr:rowOff>
    </xdr:to>
    <xdr:pic>
      <xdr:nvPicPr>
        <xdr:cNvPr id="7" name="Picture 4568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5343525"/>
          <a:ext cx="10191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238125</xdr:colOff>
      <xdr:row>12</xdr:row>
      <xdr:rowOff>95250</xdr:rowOff>
    </xdr:from>
    <xdr:to>
      <xdr:col>2</xdr:col>
      <xdr:colOff>1143000</xdr:colOff>
      <xdr:row>12</xdr:row>
      <xdr:rowOff>882461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6219825"/>
          <a:ext cx="904875" cy="787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15</xdr:row>
      <xdr:rowOff>85725</xdr:rowOff>
    </xdr:from>
    <xdr:to>
      <xdr:col>2</xdr:col>
      <xdr:colOff>1285875</xdr:colOff>
      <xdr:row>15</xdr:row>
      <xdr:rowOff>819150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058150"/>
          <a:ext cx="10001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13</xdr:row>
      <xdr:rowOff>104775</xdr:rowOff>
    </xdr:from>
    <xdr:to>
      <xdr:col>2</xdr:col>
      <xdr:colOff>1234168</xdr:colOff>
      <xdr:row>13</xdr:row>
      <xdr:rowOff>819150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7153275"/>
          <a:ext cx="938893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17</xdr:row>
      <xdr:rowOff>57150</xdr:rowOff>
    </xdr:from>
    <xdr:to>
      <xdr:col>2</xdr:col>
      <xdr:colOff>1306617</xdr:colOff>
      <xdr:row>17</xdr:row>
      <xdr:rowOff>830176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953500"/>
          <a:ext cx="1020867" cy="773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400051</xdr:colOff>
      <xdr:row>19</xdr:row>
      <xdr:rowOff>85726</xdr:rowOff>
    </xdr:from>
    <xdr:to>
      <xdr:col>2</xdr:col>
      <xdr:colOff>1159849</xdr:colOff>
      <xdr:row>19</xdr:row>
      <xdr:rowOff>885825</xdr:rowOff>
    </xdr:to>
    <xdr:pic>
      <xdr:nvPicPr>
        <xdr:cNvPr id="12" name="Picture 14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6" y="9906001"/>
          <a:ext cx="759798" cy="800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304801</xdr:colOff>
      <xdr:row>21</xdr:row>
      <xdr:rowOff>95098</xdr:rowOff>
    </xdr:from>
    <xdr:to>
      <xdr:col>2</xdr:col>
      <xdr:colOff>1143001</xdr:colOff>
      <xdr:row>21</xdr:row>
      <xdr:rowOff>871005</xdr:rowOff>
    </xdr:to>
    <xdr:pic>
      <xdr:nvPicPr>
        <xdr:cNvPr id="13" name="Picture 16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6" y="10839298"/>
          <a:ext cx="838200" cy="775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24</xdr:row>
      <xdr:rowOff>85725</xdr:rowOff>
    </xdr:from>
    <xdr:to>
      <xdr:col>2</xdr:col>
      <xdr:colOff>1171787</xdr:colOff>
      <xdr:row>24</xdr:row>
      <xdr:rowOff>820617</xdr:rowOff>
    </xdr:to>
    <xdr:pic>
      <xdr:nvPicPr>
        <xdr:cNvPr id="14" name="Picture 18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11753850"/>
          <a:ext cx="771737" cy="734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291811</xdr:colOff>
      <xdr:row>25</xdr:row>
      <xdr:rowOff>38101</xdr:rowOff>
    </xdr:from>
    <xdr:to>
      <xdr:col>2</xdr:col>
      <xdr:colOff>1250242</xdr:colOff>
      <xdr:row>25</xdr:row>
      <xdr:rowOff>781051</xdr:rowOff>
    </xdr:to>
    <xdr:pic>
      <xdr:nvPicPr>
        <xdr:cNvPr id="15" name="Picture 20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6286" y="12630151"/>
          <a:ext cx="958431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238125</xdr:colOff>
      <xdr:row>26</xdr:row>
      <xdr:rowOff>85726</xdr:rowOff>
    </xdr:from>
    <xdr:to>
      <xdr:col>2</xdr:col>
      <xdr:colOff>1367510</xdr:colOff>
      <xdr:row>26</xdr:row>
      <xdr:rowOff>867608</xdr:rowOff>
    </xdr:to>
    <xdr:pic>
      <xdr:nvPicPr>
        <xdr:cNvPr id="16" name="Picture 2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3601701"/>
          <a:ext cx="1129385" cy="78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104776</xdr:colOff>
      <xdr:row>28</xdr:row>
      <xdr:rowOff>123825</xdr:rowOff>
    </xdr:from>
    <xdr:to>
      <xdr:col>2</xdr:col>
      <xdr:colOff>1413256</xdr:colOff>
      <xdr:row>28</xdr:row>
      <xdr:rowOff>635876</xdr:rowOff>
    </xdr:to>
    <xdr:pic>
      <xdr:nvPicPr>
        <xdr:cNvPr id="17" name="Picture 2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1" y="14563725"/>
          <a:ext cx="1308480" cy="51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29</xdr:row>
      <xdr:rowOff>126999</xdr:rowOff>
    </xdr:from>
    <xdr:to>
      <xdr:col>2</xdr:col>
      <xdr:colOff>1343726</xdr:colOff>
      <xdr:row>29</xdr:row>
      <xdr:rowOff>812224</xdr:rowOff>
    </xdr:to>
    <xdr:pic>
      <xdr:nvPicPr>
        <xdr:cNvPr id="18" name="Picture 28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700" y="26466799"/>
          <a:ext cx="1153226" cy="685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320386</xdr:colOff>
      <xdr:row>41</xdr:row>
      <xdr:rowOff>47626</xdr:rowOff>
    </xdr:from>
    <xdr:to>
      <xdr:col>2</xdr:col>
      <xdr:colOff>1213691</xdr:colOff>
      <xdr:row>41</xdr:row>
      <xdr:rowOff>800100</xdr:rowOff>
    </xdr:to>
    <xdr:pic>
      <xdr:nvPicPr>
        <xdr:cNvPr id="23" name="Picture 66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861" y="20031076"/>
          <a:ext cx="893305" cy="752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31</xdr:row>
      <xdr:rowOff>38100</xdr:rowOff>
    </xdr:from>
    <xdr:to>
      <xdr:col>2</xdr:col>
      <xdr:colOff>1447801</xdr:colOff>
      <xdr:row>31</xdr:row>
      <xdr:rowOff>869207</xdr:rowOff>
    </xdr:to>
    <xdr:pic>
      <xdr:nvPicPr>
        <xdr:cNvPr id="33" name="圖片 28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6" y="16325850"/>
          <a:ext cx="1295400" cy="831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34</xdr:row>
      <xdr:rowOff>28575</xdr:rowOff>
    </xdr:from>
    <xdr:to>
      <xdr:col>2</xdr:col>
      <xdr:colOff>1320758</xdr:colOff>
      <xdr:row>34</xdr:row>
      <xdr:rowOff>847759</xdr:rowOff>
    </xdr:to>
    <xdr:pic>
      <xdr:nvPicPr>
        <xdr:cNvPr id="34" name="圖片 36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17240250"/>
          <a:ext cx="1015958" cy="819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361951</xdr:colOff>
      <xdr:row>37</xdr:row>
      <xdr:rowOff>66675</xdr:rowOff>
    </xdr:from>
    <xdr:to>
      <xdr:col>2</xdr:col>
      <xdr:colOff>1205327</xdr:colOff>
      <xdr:row>37</xdr:row>
      <xdr:rowOff>891188</xdr:rowOff>
    </xdr:to>
    <xdr:pic>
      <xdr:nvPicPr>
        <xdr:cNvPr id="35" name="圖片 38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18202275"/>
          <a:ext cx="843376" cy="824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377537</xdr:colOff>
      <xdr:row>39</xdr:row>
      <xdr:rowOff>66675</xdr:rowOff>
    </xdr:from>
    <xdr:to>
      <xdr:col>2</xdr:col>
      <xdr:colOff>1091747</xdr:colOff>
      <xdr:row>39</xdr:row>
      <xdr:rowOff>876300</xdr:rowOff>
    </xdr:to>
    <xdr:pic>
      <xdr:nvPicPr>
        <xdr:cNvPr id="36" name="Picture 52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012" y="19126200"/>
          <a:ext cx="71421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42</xdr:row>
      <xdr:rowOff>85726</xdr:rowOff>
    </xdr:from>
    <xdr:to>
      <xdr:col>2</xdr:col>
      <xdr:colOff>1293866</xdr:colOff>
      <xdr:row>42</xdr:row>
      <xdr:rowOff>771526</xdr:rowOff>
    </xdr:to>
    <xdr:pic>
      <xdr:nvPicPr>
        <xdr:cNvPr id="37" name="Picture 68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0993101"/>
          <a:ext cx="99859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44</xdr:row>
      <xdr:rowOff>66676</xdr:rowOff>
    </xdr:from>
    <xdr:to>
      <xdr:col>2</xdr:col>
      <xdr:colOff>1164677</xdr:colOff>
      <xdr:row>44</xdr:row>
      <xdr:rowOff>771526</xdr:rowOff>
    </xdr:to>
    <xdr:pic>
      <xdr:nvPicPr>
        <xdr:cNvPr id="38" name="Picture 70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1897976"/>
          <a:ext cx="78367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348961</xdr:colOff>
      <xdr:row>46</xdr:row>
      <xdr:rowOff>76201</xdr:rowOff>
    </xdr:from>
    <xdr:to>
      <xdr:col>2</xdr:col>
      <xdr:colOff>1122870</xdr:colOff>
      <xdr:row>46</xdr:row>
      <xdr:rowOff>781051</xdr:rowOff>
    </xdr:to>
    <xdr:pic>
      <xdr:nvPicPr>
        <xdr:cNvPr id="39" name="Picture 72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436" y="22831426"/>
          <a:ext cx="77390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55</xdr:row>
      <xdr:rowOff>70138</xdr:rowOff>
    </xdr:from>
    <xdr:to>
      <xdr:col>2</xdr:col>
      <xdr:colOff>1372340</xdr:colOff>
      <xdr:row>55</xdr:row>
      <xdr:rowOff>810359</xdr:rowOff>
    </xdr:to>
    <xdr:pic>
      <xdr:nvPicPr>
        <xdr:cNvPr id="40" name="Picture 8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1" y="24673213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49</xdr:row>
      <xdr:rowOff>114300</xdr:rowOff>
    </xdr:from>
    <xdr:to>
      <xdr:col>2</xdr:col>
      <xdr:colOff>1156694</xdr:colOff>
      <xdr:row>49</xdr:row>
      <xdr:rowOff>771525</xdr:rowOff>
    </xdr:to>
    <xdr:pic>
      <xdr:nvPicPr>
        <xdr:cNvPr id="41" name="Picture 82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2379345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61</xdr:row>
      <xdr:rowOff>60614</xdr:rowOff>
    </xdr:from>
    <xdr:to>
      <xdr:col>2</xdr:col>
      <xdr:colOff>1371600</xdr:colOff>
      <xdr:row>61</xdr:row>
      <xdr:rowOff>820230</xdr:rowOff>
    </xdr:to>
    <xdr:pic>
      <xdr:nvPicPr>
        <xdr:cNvPr id="42" name="Picture 88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25587614"/>
          <a:ext cx="1228725" cy="759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63</xdr:row>
      <xdr:rowOff>127289</xdr:rowOff>
    </xdr:from>
    <xdr:to>
      <xdr:col>2</xdr:col>
      <xdr:colOff>1448941</xdr:colOff>
      <xdr:row>63</xdr:row>
      <xdr:rowOff>808893</xdr:rowOff>
    </xdr:to>
    <xdr:pic>
      <xdr:nvPicPr>
        <xdr:cNvPr id="43" name="Picture 9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6" y="26578214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266700</xdr:colOff>
      <xdr:row>69</xdr:row>
      <xdr:rowOff>70139</xdr:rowOff>
    </xdr:from>
    <xdr:to>
      <xdr:col>2</xdr:col>
      <xdr:colOff>1217533</xdr:colOff>
      <xdr:row>69</xdr:row>
      <xdr:rowOff>826347</xdr:rowOff>
    </xdr:to>
    <xdr:pic>
      <xdr:nvPicPr>
        <xdr:cNvPr id="44" name="Picture 9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27444989"/>
          <a:ext cx="950833" cy="756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71</xdr:row>
      <xdr:rowOff>89188</xdr:rowOff>
    </xdr:from>
    <xdr:to>
      <xdr:col>2</xdr:col>
      <xdr:colOff>1188825</xdr:colOff>
      <xdr:row>71</xdr:row>
      <xdr:rowOff>824081</xdr:rowOff>
    </xdr:to>
    <xdr:pic>
      <xdr:nvPicPr>
        <xdr:cNvPr id="45" name="Picture 98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6" y="28387963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11</xdr:row>
      <xdr:rowOff>65362</xdr:rowOff>
    </xdr:from>
    <xdr:to>
      <xdr:col>2</xdr:col>
      <xdr:colOff>1524000</xdr:colOff>
      <xdr:row>11</xdr:row>
      <xdr:rowOff>844031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5081862"/>
          <a:ext cx="1384300" cy="778669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</xdr:row>
      <xdr:rowOff>171180</xdr:rowOff>
    </xdr:from>
    <xdr:to>
      <xdr:col>2</xdr:col>
      <xdr:colOff>1104900</xdr:colOff>
      <xdr:row>2</xdr:row>
      <xdr:rowOff>720984</xdr:rowOff>
    </xdr:to>
    <xdr:pic>
      <xdr:nvPicPr>
        <xdr:cNvPr id="46" name="Picture 452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5" y="552180"/>
          <a:ext cx="885825" cy="549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219075</xdr:colOff>
      <xdr:row>2</xdr:row>
      <xdr:rowOff>171180</xdr:rowOff>
    </xdr:from>
    <xdr:to>
      <xdr:col>2</xdr:col>
      <xdr:colOff>1104900</xdr:colOff>
      <xdr:row>2</xdr:row>
      <xdr:rowOff>720984</xdr:rowOff>
    </xdr:to>
    <xdr:pic>
      <xdr:nvPicPr>
        <xdr:cNvPr id="47" name="Picture 4525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5" y="552180"/>
          <a:ext cx="885825" cy="549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219075</xdr:colOff>
      <xdr:row>3</xdr:row>
      <xdr:rowOff>171180</xdr:rowOff>
    </xdr:from>
    <xdr:to>
      <xdr:col>2</xdr:col>
      <xdr:colOff>1104900</xdr:colOff>
      <xdr:row>3</xdr:row>
      <xdr:rowOff>720984</xdr:rowOff>
    </xdr:to>
    <xdr:pic>
      <xdr:nvPicPr>
        <xdr:cNvPr id="48" name="Picture 4525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5" y="552180"/>
          <a:ext cx="885825" cy="549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5</xdr:row>
      <xdr:rowOff>193564</xdr:rowOff>
    </xdr:from>
    <xdr:to>
      <xdr:col>2</xdr:col>
      <xdr:colOff>1039536</xdr:colOff>
      <xdr:row>5</xdr:row>
      <xdr:rowOff>800878</xdr:rowOff>
    </xdr:to>
    <xdr:pic>
      <xdr:nvPicPr>
        <xdr:cNvPr id="49" name="Picture 4531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750" y="3355864"/>
          <a:ext cx="829986" cy="60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193564</xdr:rowOff>
    </xdr:from>
    <xdr:to>
      <xdr:col>2</xdr:col>
      <xdr:colOff>1039536</xdr:colOff>
      <xdr:row>6</xdr:row>
      <xdr:rowOff>800878</xdr:rowOff>
    </xdr:to>
    <xdr:pic>
      <xdr:nvPicPr>
        <xdr:cNvPr id="50" name="Picture 4531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750" y="3355864"/>
          <a:ext cx="829986" cy="60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8</xdr:row>
      <xdr:rowOff>217554</xdr:rowOff>
    </xdr:from>
    <xdr:to>
      <xdr:col>2</xdr:col>
      <xdr:colOff>1105774</xdr:colOff>
      <xdr:row>8</xdr:row>
      <xdr:rowOff>581608</xdr:rowOff>
    </xdr:to>
    <xdr:pic>
      <xdr:nvPicPr>
        <xdr:cNvPr id="51" name="Picture 2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375" y="6161154"/>
          <a:ext cx="848599" cy="364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14</xdr:row>
      <xdr:rowOff>104775</xdr:rowOff>
    </xdr:from>
    <xdr:to>
      <xdr:col>2</xdr:col>
      <xdr:colOff>1234168</xdr:colOff>
      <xdr:row>14</xdr:row>
      <xdr:rowOff>819150</xdr:rowOff>
    </xdr:to>
    <xdr:pic>
      <xdr:nvPicPr>
        <xdr:cNvPr id="52" name="Picture 10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475" y="11610975"/>
          <a:ext cx="938893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16</xdr:row>
      <xdr:rowOff>85725</xdr:rowOff>
    </xdr:from>
    <xdr:to>
      <xdr:col>2</xdr:col>
      <xdr:colOff>1285875</xdr:colOff>
      <xdr:row>16</xdr:row>
      <xdr:rowOff>819150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0" y="13446125"/>
          <a:ext cx="10001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18</xdr:row>
      <xdr:rowOff>57150</xdr:rowOff>
    </xdr:from>
    <xdr:to>
      <xdr:col>2</xdr:col>
      <xdr:colOff>1306617</xdr:colOff>
      <xdr:row>18</xdr:row>
      <xdr:rowOff>830176</xdr:rowOff>
    </xdr:to>
    <xdr:pic>
      <xdr:nvPicPr>
        <xdr:cNvPr id="54" name="Picture 12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0" y="15271750"/>
          <a:ext cx="1020867" cy="773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400051</xdr:colOff>
      <xdr:row>20</xdr:row>
      <xdr:rowOff>85726</xdr:rowOff>
    </xdr:from>
    <xdr:to>
      <xdr:col>2</xdr:col>
      <xdr:colOff>1159849</xdr:colOff>
      <xdr:row>20</xdr:row>
      <xdr:rowOff>885825</xdr:rowOff>
    </xdr:to>
    <xdr:pic>
      <xdr:nvPicPr>
        <xdr:cNvPr id="55" name="Picture 1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251" y="17154526"/>
          <a:ext cx="759798" cy="800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304801</xdr:colOff>
      <xdr:row>22</xdr:row>
      <xdr:rowOff>95098</xdr:rowOff>
    </xdr:from>
    <xdr:to>
      <xdr:col>2</xdr:col>
      <xdr:colOff>1143001</xdr:colOff>
      <xdr:row>22</xdr:row>
      <xdr:rowOff>871005</xdr:rowOff>
    </xdr:to>
    <xdr:pic>
      <xdr:nvPicPr>
        <xdr:cNvPr id="56" name="Picture 1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1" y="19018098"/>
          <a:ext cx="838200" cy="775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304801</xdr:colOff>
      <xdr:row>23</xdr:row>
      <xdr:rowOff>95098</xdr:rowOff>
    </xdr:from>
    <xdr:to>
      <xdr:col>2</xdr:col>
      <xdr:colOff>1143001</xdr:colOff>
      <xdr:row>23</xdr:row>
      <xdr:rowOff>871005</xdr:rowOff>
    </xdr:to>
    <xdr:pic>
      <xdr:nvPicPr>
        <xdr:cNvPr id="57" name="Picture 1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1" y="19018098"/>
          <a:ext cx="838200" cy="775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238125</xdr:colOff>
      <xdr:row>27</xdr:row>
      <xdr:rowOff>85726</xdr:rowOff>
    </xdr:from>
    <xdr:to>
      <xdr:col>2</xdr:col>
      <xdr:colOff>1367510</xdr:colOff>
      <xdr:row>27</xdr:row>
      <xdr:rowOff>867608</xdr:rowOff>
    </xdr:to>
    <xdr:pic>
      <xdr:nvPicPr>
        <xdr:cNvPr id="58" name="Picture 22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325" y="23644226"/>
          <a:ext cx="1129385" cy="78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30</xdr:row>
      <xdr:rowOff>126999</xdr:rowOff>
    </xdr:from>
    <xdr:to>
      <xdr:col>2</xdr:col>
      <xdr:colOff>1343726</xdr:colOff>
      <xdr:row>30</xdr:row>
      <xdr:rowOff>812224</xdr:rowOff>
    </xdr:to>
    <xdr:pic>
      <xdr:nvPicPr>
        <xdr:cNvPr id="59" name="Picture 28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700" y="26466799"/>
          <a:ext cx="1153226" cy="685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32</xdr:row>
      <xdr:rowOff>38100</xdr:rowOff>
    </xdr:from>
    <xdr:to>
      <xdr:col>2</xdr:col>
      <xdr:colOff>1447801</xdr:colOff>
      <xdr:row>32</xdr:row>
      <xdr:rowOff>869207</xdr:rowOff>
    </xdr:to>
    <xdr:pic>
      <xdr:nvPicPr>
        <xdr:cNvPr id="60" name="圖片 28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28232100"/>
          <a:ext cx="1295400" cy="831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33</xdr:row>
      <xdr:rowOff>38100</xdr:rowOff>
    </xdr:from>
    <xdr:to>
      <xdr:col>2</xdr:col>
      <xdr:colOff>1447801</xdr:colOff>
      <xdr:row>33</xdr:row>
      <xdr:rowOff>869207</xdr:rowOff>
    </xdr:to>
    <xdr:pic>
      <xdr:nvPicPr>
        <xdr:cNvPr id="61" name="圖片 28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28232100"/>
          <a:ext cx="1295400" cy="831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35</xdr:row>
      <xdr:rowOff>28575</xdr:rowOff>
    </xdr:from>
    <xdr:to>
      <xdr:col>2</xdr:col>
      <xdr:colOff>1320758</xdr:colOff>
      <xdr:row>35</xdr:row>
      <xdr:rowOff>847759</xdr:rowOff>
    </xdr:to>
    <xdr:pic>
      <xdr:nvPicPr>
        <xdr:cNvPr id="62" name="圖片 36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" y="31003875"/>
          <a:ext cx="1015958" cy="819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36</xdr:row>
      <xdr:rowOff>28575</xdr:rowOff>
    </xdr:from>
    <xdr:to>
      <xdr:col>2</xdr:col>
      <xdr:colOff>1320758</xdr:colOff>
      <xdr:row>36</xdr:row>
      <xdr:rowOff>847759</xdr:rowOff>
    </xdr:to>
    <xdr:pic>
      <xdr:nvPicPr>
        <xdr:cNvPr id="63" name="圖片 36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" y="31003875"/>
          <a:ext cx="1015958" cy="819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361951</xdr:colOff>
      <xdr:row>38</xdr:row>
      <xdr:rowOff>66675</xdr:rowOff>
    </xdr:from>
    <xdr:to>
      <xdr:col>2</xdr:col>
      <xdr:colOff>1205327</xdr:colOff>
      <xdr:row>38</xdr:row>
      <xdr:rowOff>891188</xdr:rowOff>
    </xdr:to>
    <xdr:pic>
      <xdr:nvPicPr>
        <xdr:cNvPr id="64" name="圖片 38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9151" y="33823275"/>
          <a:ext cx="843376" cy="824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377537</xdr:colOff>
      <xdr:row>40</xdr:row>
      <xdr:rowOff>66675</xdr:rowOff>
    </xdr:from>
    <xdr:to>
      <xdr:col>2</xdr:col>
      <xdr:colOff>1091747</xdr:colOff>
      <xdr:row>40</xdr:row>
      <xdr:rowOff>876300</xdr:rowOff>
    </xdr:to>
    <xdr:pic>
      <xdr:nvPicPr>
        <xdr:cNvPr id="65" name="Picture 52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737" y="35677475"/>
          <a:ext cx="71421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43</xdr:row>
      <xdr:rowOff>85726</xdr:rowOff>
    </xdr:from>
    <xdr:to>
      <xdr:col>2</xdr:col>
      <xdr:colOff>1293866</xdr:colOff>
      <xdr:row>43</xdr:row>
      <xdr:rowOff>771526</xdr:rowOff>
    </xdr:to>
    <xdr:pic>
      <xdr:nvPicPr>
        <xdr:cNvPr id="66" name="Picture 68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475" y="38477826"/>
          <a:ext cx="99859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45</xdr:row>
      <xdr:rowOff>66676</xdr:rowOff>
    </xdr:from>
    <xdr:to>
      <xdr:col>2</xdr:col>
      <xdr:colOff>1164677</xdr:colOff>
      <xdr:row>45</xdr:row>
      <xdr:rowOff>771526</xdr:rowOff>
    </xdr:to>
    <xdr:pic>
      <xdr:nvPicPr>
        <xdr:cNvPr id="67" name="Picture 70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200" y="40312976"/>
          <a:ext cx="78367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348961</xdr:colOff>
      <xdr:row>47</xdr:row>
      <xdr:rowOff>76201</xdr:rowOff>
    </xdr:from>
    <xdr:to>
      <xdr:col>2</xdr:col>
      <xdr:colOff>1122870</xdr:colOff>
      <xdr:row>47</xdr:row>
      <xdr:rowOff>781051</xdr:rowOff>
    </xdr:to>
    <xdr:pic>
      <xdr:nvPicPr>
        <xdr:cNvPr id="68" name="Picture 72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161" y="42176701"/>
          <a:ext cx="77390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348961</xdr:colOff>
      <xdr:row>48</xdr:row>
      <xdr:rowOff>76201</xdr:rowOff>
    </xdr:from>
    <xdr:to>
      <xdr:col>2</xdr:col>
      <xdr:colOff>1122870</xdr:colOff>
      <xdr:row>48</xdr:row>
      <xdr:rowOff>781051</xdr:rowOff>
    </xdr:to>
    <xdr:pic>
      <xdr:nvPicPr>
        <xdr:cNvPr id="69" name="Picture 72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161" y="43103801"/>
          <a:ext cx="77390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50</xdr:row>
      <xdr:rowOff>114300</xdr:rowOff>
    </xdr:from>
    <xdr:to>
      <xdr:col>2</xdr:col>
      <xdr:colOff>1156694</xdr:colOff>
      <xdr:row>50</xdr:row>
      <xdr:rowOff>771525</xdr:rowOff>
    </xdr:to>
    <xdr:pic>
      <xdr:nvPicPr>
        <xdr:cNvPr id="70" name="Picture 82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4499610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51</xdr:row>
      <xdr:rowOff>114300</xdr:rowOff>
    </xdr:from>
    <xdr:to>
      <xdr:col>2</xdr:col>
      <xdr:colOff>1156694</xdr:colOff>
      <xdr:row>51</xdr:row>
      <xdr:rowOff>771525</xdr:rowOff>
    </xdr:to>
    <xdr:pic>
      <xdr:nvPicPr>
        <xdr:cNvPr id="71" name="Picture 82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4499610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52</xdr:row>
      <xdr:rowOff>114300</xdr:rowOff>
    </xdr:from>
    <xdr:to>
      <xdr:col>2</xdr:col>
      <xdr:colOff>1156694</xdr:colOff>
      <xdr:row>52</xdr:row>
      <xdr:rowOff>771525</xdr:rowOff>
    </xdr:to>
    <xdr:pic>
      <xdr:nvPicPr>
        <xdr:cNvPr id="72" name="Picture 82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4499610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53</xdr:row>
      <xdr:rowOff>114300</xdr:rowOff>
    </xdr:from>
    <xdr:to>
      <xdr:col>2</xdr:col>
      <xdr:colOff>1156694</xdr:colOff>
      <xdr:row>53</xdr:row>
      <xdr:rowOff>771525</xdr:rowOff>
    </xdr:to>
    <xdr:pic>
      <xdr:nvPicPr>
        <xdr:cNvPr id="73" name="Picture 8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4499610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54</xdr:row>
      <xdr:rowOff>114300</xdr:rowOff>
    </xdr:from>
    <xdr:to>
      <xdr:col>2</xdr:col>
      <xdr:colOff>1156694</xdr:colOff>
      <xdr:row>54</xdr:row>
      <xdr:rowOff>771525</xdr:rowOff>
    </xdr:to>
    <xdr:pic>
      <xdr:nvPicPr>
        <xdr:cNvPr id="74" name="Picture 82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44996100"/>
          <a:ext cx="90904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56</xdr:row>
      <xdr:rowOff>70138</xdr:rowOff>
    </xdr:from>
    <xdr:to>
      <xdr:col>2</xdr:col>
      <xdr:colOff>1372340</xdr:colOff>
      <xdr:row>56</xdr:row>
      <xdr:rowOff>810359</xdr:rowOff>
    </xdr:to>
    <xdr:pic>
      <xdr:nvPicPr>
        <xdr:cNvPr id="75" name="Picture 80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6" y="50514538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57</xdr:row>
      <xdr:rowOff>70138</xdr:rowOff>
    </xdr:from>
    <xdr:to>
      <xdr:col>2</xdr:col>
      <xdr:colOff>1372340</xdr:colOff>
      <xdr:row>57</xdr:row>
      <xdr:rowOff>810359</xdr:rowOff>
    </xdr:to>
    <xdr:pic>
      <xdr:nvPicPr>
        <xdr:cNvPr id="76" name="Picture 80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6" y="50514538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58</xdr:row>
      <xdr:rowOff>70138</xdr:rowOff>
    </xdr:from>
    <xdr:to>
      <xdr:col>2</xdr:col>
      <xdr:colOff>1372340</xdr:colOff>
      <xdr:row>58</xdr:row>
      <xdr:rowOff>810359</xdr:rowOff>
    </xdr:to>
    <xdr:pic>
      <xdr:nvPicPr>
        <xdr:cNvPr id="77" name="Picture 80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6" y="50514538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59</xdr:row>
      <xdr:rowOff>70138</xdr:rowOff>
    </xdr:from>
    <xdr:to>
      <xdr:col>2</xdr:col>
      <xdr:colOff>1372340</xdr:colOff>
      <xdr:row>59</xdr:row>
      <xdr:rowOff>810359</xdr:rowOff>
    </xdr:to>
    <xdr:pic>
      <xdr:nvPicPr>
        <xdr:cNvPr id="78" name="Picture 80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6" y="50514538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60</xdr:row>
      <xdr:rowOff>70138</xdr:rowOff>
    </xdr:from>
    <xdr:to>
      <xdr:col>2</xdr:col>
      <xdr:colOff>1372340</xdr:colOff>
      <xdr:row>60</xdr:row>
      <xdr:rowOff>810359</xdr:rowOff>
    </xdr:to>
    <xdr:pic>
      <xdr:nvPicPr>
        <xdr:cNvPr id="79" name="Picture 80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276" y="50514538"/>
          <a:ext cx="1153264" cy="74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62</xdr:row>
      <xdr:rowOff>60614</xdr:rowOff>
    </xdr:from>
    <xdr:to>
      <xdr:col>2</xdr:col>
      <xdr:colOff>1371600</xdr:colOff>
      <xdr:row>62</xdr:row>
      <xdr:rowOff>820230</xdr:rowOff>
    </xdr:to>
    <xdr:pic>
      <xdr:nvPicPr>
        <xdr:cNvPr id="81" name="Picture 88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075" y="56067614"/>
          <a:ext cx="1228725" cy="759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64</xdr:row>
      <xdr:rowOff>127289</xdr:rowOff>
    </xdr:from>
    <xdr:to>
      <xdr:col>2</xdr:col>
      <xdr:colOff>1448941</xdr:colOff>
      <xdr:row>64</xdr:row>
      <xdr:rowOff>808893</xdr:rowOff>
    </xdr:to>
    <xdr:pic>
      <xdr:nvPicPr>
        <xdr:cNvPr id="82" name="Picture 9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57988489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65</xdr:row>
      <xdr:rowOff>127289</xdr:rowOff>
    </xdr:from>
    <xdr:to>
      <xdr:col>2</xdr:col>
      <xdr:colOff>1448941</xdr:colOff>
      <xdr:row>65</xdr:row>
      <xdr:rowOff>808893</xdr:rowOff>
    </xdr:to>
    <xdr:pic>
      <xdr:nvPicPr>
        <xdr:cNvPr id="83" name="Picture 9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57988489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66</xdr:row>
      <xdr:rowOff>127289</xdr:rowOff>
    </xdr:from>
    <xdr:to>
      <xdr:col>2</xdr:col>
      <xdr:colOff>1448941</xdr:colOff>
      <xdr:row>66</xdr:row>
      <xdr:rowOff>808893</xdr:rowOff>
    </xdr:to>
    <xdr:pic>
      <xdr:nvPicPr>
        <xdr:cNvPr id="84" name="Picture 92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57988489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67</xdr:row>
      <xdr:rowOff>127289</xdr:rowOff>
    </xdr:from>
    <xdr:to>
      <xdr:col>2</xdr:col>
      <xdr:colOff>1448941</xdr:colOff>
      <xdr:row>67</xdr:row>
      <xdr:rowOff>808893</xdr:rowOff>
    </xdr:to>
    <xdr:pic>
      <xdr:nvPicPr>
        <xdr:cNvPr id="85" name="Picture 92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57988489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152401</xdr:colOff>
      <xdr:row>68</xdr:row>
      <xdr:rowOff>127289</xdr:rowOff>
    </xdr:from>
    <xdr:to>
      <xdr:col>2</xdr:col>
      <xdr:colOff>1448941</xdr:colOff>
      <xdr:row>68</xdr:row>
      <xdr:rowOff>808893</xdr:rowOff>
    </xdr:to>
    <xdr:pic>
      <xdr:nvPicPr>
        <xdr:cNvPr id="86" name="Picture 92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1" y="57988489"/>
          <a:ext cx="1296540" cy="68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266700</xdr:colOff>
      <xdr:row>70</xdr:row>
      <xdr:rowOff>70139</xdr:rowOff>
    </xdr:from>
    <xdr:to>
      <xdr:col>2</xdr:col>
      <xdr:colOff>1217533</xdr:colOff>
      <xdr:row>70</xdr:row>
      <xdr:rowOff>826347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900" y="63493939"/>
          <a:ext cx="950833" cy="756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72</xdr:row>
      <xdr:rowOff>89188</xdr:rowOff>
    </xdr:from>
    <xdr:to>
      <xdr:col>2</xdr:col>
      <xdr:colOff>1188825</xdr:colOff>
      <xdr:row>72</xdr:row>
      <xdr:rowOff>824081</xdr:rowOff>
    </xdr:to>
    <xdr:pic>
      <xdr:nvPicPr>
        <xdr:cNvPr id="88" name="Picture 9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1" y="65367188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73</xdr:row>
      <xdr:rowOff>89188</xdr:rowOff>
    </xdr:from>
    <xdr:to>
      <xdr:col>2</xdr:col>
      <xdr:colOff>1188825</xdr:colOff>
      <xdr:row>73</xdr:row>
      <xdr:rowOff>824081</xdr:rowOff>
    </xdr:to>
    <xdr:pic>
      <xdr:nvPicPr>
        <xdr:cNvPr id="89" name="Picture 9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1" y="65367188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74</xdr:row>
      <xdr:rowOff>89188</xdr:rowOff>
    </xdr:from>
    <xdr:to>
      <xdr:col>2</xdr:col>
      <xdr:colOff>1188825</xdr:colOff>
      <xdr:row>74</xdr:row>
      <xdr:rowOff>824081</xdr:rowOff>
    </xdr:to>
    <xdr:pic>
      <xdr:nvPicPr>
        <xdr:cNvPr id="90" name="Picture 98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1" y="65367188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75</xdr:row>
      <xdr:rowOff>89188</xdr:rowOff>
    </xdr:from>
    <xdr:to>
      <xdr:col>2</xdr:col>
      <xdr:colOff>1188825</xdr:colOff>
      <xdr:row>75</xdr:row>
      <xdr:rowOff>824081</xdr:rowOff>
    </xdr:to>
    <xdr:pic>
      <xdr:nvPicPr>
        <xdr:cNvPr id="91" name="Picture 98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1" y="65367188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76</xdr:row>
      <xdr:rowOff>89188</xdr:rowOff>
    </xdr:from>
    <xdr:to>
      <xdr:col>2</xdr:col>
      <xdr:colOff>1188825</xdr:colOff>
      <xdr:row>76</xdr:row>
      <xdr:rowOff>824081</xdr:rowOff>
    </xdr:to>
    <xdr:pic>
      <xdr:nvPicPr>
        <xdr:cNvPr id="92" name="Picture 98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1" y="65367188"/>
          <a:ext cx="903074" cy="73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abSelected="1" workbookViewId="0">
      <pane ySplit="1" topLeftCell="A39" activePane="bottomLeft" state="frozen"/>
      <selection pane="bottomLeft" activeCell="B72" sqref="B72"/>
    </sheetView>
  </sheetViews>
  <sheetFormatPr baseColWidth="10" defaultColWidth="10.1640625" defaultRowHeight="15" x14ac:dyDescent="0.2"/>
  <cols>
    <col min="1" max="1" width="12.5" style="2" customWidth="1"/>
    <col min="2" max="2" width="10.1640625" style="2"/>
    <col min="3" max="3" width="24.6640625" style="2" customWidth="1"/>
    <col min="4" max="4" width="37.83203125" style="2" customWidth="1"/>
    <col min="5" max="6" width="10.1640625" style="2"/>
    <col min="7" max="8" width="10.1640625" style="7"/>
    <col min="9" max="9" width="11.83203125" style="7" customWidth="1"/>
    <col min="10" max="13" width="10.1640625" style="7"/>
    <col min="14" max="254" width="10.1640625" style="2"/>
    <col min="255" max="255" width="12.5" style="2" customWidth="1"/>
    <col min="256" max="256" width="10.1640625" style="2"/>
    <col min="257" max="257" width="15.6640625" style="2" customWidth="1"/>
    <col min="258" max="258" width="34.83203125" style="2" customWidth="1"/>
    <col min="259" max="510" width="10.1640625" style="2"/>
    <col min="511" max="511" width="12.5" style="2" customWidth="1"/>
    <col min="512" max="512" width="10.1640625" style="2"/>
    <col min="513" max="513" width="15.6640625" style="2" customWidth="1"/>
    <col min="514" max="514" width="34.83203125" style="2" customWidth="1"/>
    <col min="515" max="766" width="10.1640625" style="2"/>
    <col min="767" max="767" width="12.5" style="2" customWidth="1"/>
    <col min="768" max="768" width="10.1640625" style="2"/>
    <col min="769" max="769" width="15.6640625" style="2" customWidth="1"/>
    <col min="770" max="770" width="34.83203125" style="2" customWidth="1"/>
    <col min="771" max="1022" width="10.1640625" style="2"/>
    <col min="1023" max="1023" width="12.5" style="2" customWidth="1"/>
    <col min="1024" max="1024" width="10.1640625" style="2"/>
    <col min="1025" max="1025" width="15.6640625" style="2" customWidth="1"/>
    <col min="1026" max="1026" width="34.83203125" style="2" customWidth="1"/>
    <col min="1027" max="1278" width="10.1640625" style="2"/>
    <col min="1279" max="1279" width="12.5" style="2" customWidth="1"/>
    <col min="1280" max="1280" width="10.1640625" style="2"/>
    <col min="1281" max="1281" width="15.6640625" style="2" customWidth="1"/>
    <col min="1282" max="1282" width="34.83203125" style="2" customWidth="1"/>
    <col min="1283" max="1534" width="10.1640625" style="2"/>
    <col min="1535" max="1535" width="12.5" style="2" customWidth="1"/>
    <col min="1536" max="1536" width="10.1640625" style="2"/>
    <col min="1537" max="1537" width="15.6640625" style="2" customWidth="1"/>
    <col min="1538" max="1538" width="34.83203125" style="2" customWidth="1"/>
    <col min="1539" max="1790" width="10.1640625" style="2"/>
    <col min="1791" max="1791" width="12.5" style="2" customWidth="1"/>
    <col min="1792" max="1792" width="10.1640625" style="2"/>
    <col min="1793" max="1793" width="15.6640625" style="2" customWidth="1"/>
    <col min="1794" max="1794" width="34.83203125" style="2" customWidth="1"/>
    <col min="1795" max="2046" width="10.1640625" style="2"/>
    <col min="2047" max="2047" width="12.5" style="2" customWidth="1"/>
    <col min="2048" max="2048" width="10.1640625" style="2"/>
    <col min="2049" max="2049" width="15.6640625" style="2" customWidth="1"/>
    <col min="2050" max="2050" width="34.83203125" style="2" customWidth="1"/>
    <col min="2051" max="2302" width="10.1640625" style="2"/>
    <col min="2303" max="2303" width="12.5" style="2" customWidth="1"/>
    <col min="2304" max="2304" width="10.1640625" style="2"/>
    <col min="2305" max="2305" width="15.6640625" style="2" customWidth="1"/>
    <col min="2306" max="2306" width="34.83203125" style="2" customWidth="1"/>
    <col min="2307" max="2558" width="10.1640625" style="2"/>
    <col min="2559" max="2559" width="12.5" style="2" customWidth="1"/>
    <col min="2560" max="2560" width="10.1640625" style="2"/>
    <col min="2561" max="2561" width="15.6640625" style="2" customWidth="1"/>
    <col min="2562" max="2562" width="34.83203125" style="2" customWidth="1"/>
    <col min="2563" max="2814" width="10.1640625" style="2"/>
    <col min="2815" max="2815" width="12.5" style="2" customWidth="1"/>
    <col min="2816" max="2816" width="10.1640625" style="2"/>
    <col min="2817" max="2817" width="15.6640625" style="2" customWidth="1"/>
    <col min="2818" max="2818" width="34.83203125" style="2" customWidth="1"/>
    <col min="2819" max="3070" width="10.1640625" style="2"/>
    <col min="3071" max="3071" width="12.5" style="2" customWidth="1"/>
    <col min="3072" max="3072" width="10.1640625" style="2"/>
    <col min="3073" max="3073" width="15.6640625" style="2" customWidth="1"/>
    <col min="3074" max="3074" width="34.83203125" style="2" customWidth="1"/>
    <col min="3075" max="3326" width="10.1640625" style="2"/>
    <col min="3327" max="3327" width="12.5" style="2" customWidth="1"/>
    <col min="3328" max="3328" width="10.1640625" style="2"/>
    <col min="3329" max="3329" width="15.6640625" style="2" customWidth="1"/>
    <col min="3330" max="3330" width="34.83203125" style="2" customWidth="1"/>
    <col min="3331" max="3582" width="10.1640625" style="2"/>
    <col min="3583" max="3583" width="12.5" style="2" customWidth="1"/>
    <col min="3584" max="3584" width="10.1640625" style="2"/>
    <col min="3585" max="3585" width="15.6640625" style="2" customWidth="1"/>
    <col min="3586" max="3586" width="34.83203125" style="2" customWidth="1"/>
    <col min="3587" max="3838" width="10.1640625" style="2"/>
    <col min="3839" max="3839" width="12.5" style="2" customWidth="1"/>
    <col min="3840" max="3840" width="10.1640625" style="2"/>
    <col min="3841" max="3841" width="15.6640625" style="2" customWidth="1"/>
    <col min="3842" max="3842" width="34.83203125" style="2" customWidth="1"/>
    <col min="3843" max="4094" width="10.1640625" style="2"/>
    <col min="4095" max="4095" width="12.5" style="2" customWidth="1"/>
    <col min="4096" max="4096" width="10.1640625" style="2"/>
    <col min="4097" max="4097" width="15.6640625" style="2" customWidth="1"/>
    <col min="4098" max="4098" width="34.83203125" style="2" customWidth="1"/>
    <col min="4099" max="4350" width="10.1640625" style="2"/>
    <col min="4351" max="4351" width="12.5" style="2" customWidth="1"/>
    <col min="4352" max="4352" width="10.1640625" style="2"/>
    <col min="4353" max="4353" width="15.6640625" style="2" customWidth="1"/>
    <col min="4354" max="4354" width="34.83203125" style="2" customWidth="1"/>
    <col min="4355" max="4606" width="10.1640625" style="2"/>
    <col min="4607" max="4607" width="12.5" style="2" customWidth="1"/>
    <col min="4608" max="4608" width="10.1640625" style="2"/>
    <col min="4609" max="4609" width="15.6640625" style="2" customWidth="1"/>
    <col min="4610" max="4610" width="34.83203125" style="2" customWidth="1"/>
    <col min="4611" max="4862" width="10.1640625" style="2"/>
    <col min="4863" max="4863" width="12.5" style="2" customWidth="1"/>
    <col min="4864" max="4864" width="10.1640625" style="2"/>
    <col min="4865" max="4865" width="15.6640625" style="2" customWidth="1"/>
    <col min="4866" max="4866" width="34.83203125" style="2" customWidth="1"/>
    <col min="4867" max="5118" width="10.1640625" style="2"/>
    <col min="5119" max="5119" width="12.5" style="2" customWidth="1"/>
    <col min="5120" max="5120" width="10.1640625" style="2"/>
    <col min="5121" max="5121" width="15.6640625" style="2" customWidth="1"/>
    <col min="5122" max="5122" width="34.83203125" style="2" customWidth="1"/>
    <col min="5123" max="5374" width="10.1640625" style="2"/>
    <col min="5375" max="5375" width="12.5" style="2" customWidth="1"/>
    <col min="5376" max="5376" width="10.1640625" style="2"/>
    <col min="5377" max="5377" width="15.6640625" style="2" customWidth="1"/>
    <col min="5378" max="5378" width="34.83203125" style="2" customWidth="1"/>
    <col min="5379" max="5630" width="10.1640625" style="2"/>
    <col min="5631" max="5631" width="12.5" style="2" customWidth="1"/>
    <col min="5632" max="5632" width="10.1640625" style="2"/>
    <col min="5633" max="5633" width="15.6640625" style="2" customWidth="1"/>
    <col min="5634" max="5634" width="34.83203125" style="2" customWidth="1"/>
    <col min="5635" max="5886" width="10.1640625" style="2"/>
    <col min="5887" max="5887" width="12.5" style="2" customWidth="1"/>
    <col min="5888" max="5888" width="10.1640625" style="2"/>
    <col min="5889" max="5889" width="15.6640625" style="2" customWidth="1"/>
    <col min="5890" max="5890" width="34.83203125" style="2" customWidth="1"/>
    <col min="5891" max="6142" width="10.1640625" style="2"/>
    <col min="6143" max="6143" width="12.5" style="2" customWidth="1"/>
    <col min="6144" max="6144" width="10.1640625" style="2"/>
    <col min="6145" max="6145" width="15.6640625" style="2" customWidth="1"/>
    <col min="6146" max="6146" width="34.83203125" style="2" customWidth="1"/>
    <col min="6147" max="6398" width="10.1640625" style="2"/>
    <col min="6399" max="6399" width="12.5" style="2" customWidth="1"/>
    <col min="6400" max="6400" width="10.1640625" style="2"/>
    <col min="6401" max="6401" width="15.6640625" style="2" customWidth="1"/>
    <col min="6402" max="6402" width="34.83203125" style="2" customWidth="1"/>
    <col min="6403" max="6654" width="10.1640625" style="2"/>
    <col min="6655" max="6655" width="12.5" style="2" customWidth="1"/>
    <col min="6656" max="6656" width="10.1640625" style="2"/>
    <col min="6657" max="6657" width="15.6640625" style="2" customWidth="1"/>
    <col min="6658" max="6658" width="34.83203125" style="2" customWidth="1"/>
    <col min="6659" max="6910" width="10.1640625" style="2"/>
    <col min="6911" max="6911" width="12.5" style="2" customWidth="1"/>
    <col min="6912" max="6912" width="10.1640625" style="2"/>
    <col min="6913" max="6913" width="15.6640625" style="2" customWidth="1"/>
    <col min="6914" max="6914" width="34.83203125" style="2" customWidth="1"/>
    <col min="6915" max="7166" width="10.1640625" style="2"/>
    <col min="7167" max="7167" width="12.5" style="2" customWidth="1"/>
    <col min="7168" max="7168" width="10.1640625" style="2"/>
    <col min="7169" max="7169" width="15.6640625" style="2" customWidth="1"/>
    <col min="7170" max="7170" width="34.83203125" style="2" customWidth="1"/>
    <col min="7171" max="7422" width="10.1640625" style="2"/>
    <col min="7423" max="7423" width="12.5" style="2" customWidth="1"/>
    <col min="7424" max="7424" width="10.1640625" style="2"/>
    <col min="7425" max="7425" width="15.6640625" style="2" customWidth="1"/>
    <col min="7426" max="7426" width="34.83203125" style="2" customWidth="1"/>
    <col min="7427" max="7678" width="10.1640625" style="2"/>
    <col min="7679" max="7679" width="12.5" style="2" customWidth="1"/>
    <col min="7680" max="7680" width="10.1640625" style="2"/>
    <col min="7681" max="7681" width="15.6640625" style="2" customWidth="1"/>
    <col min="7682" max="7682" width="34.83203125" style="2" customWidth="1"/>
    <col min="7683" max="7934" width="10.1640625" style="2"/>
    <col min="7935" max="7935" width="12.5" style="2" customWidth="1"/>
    <col min="7936" max="7936" width="10.1640625" style="2"/>
    <col min="7937" max="7937" width="15.6640625" style="2" customWidth="1"/>
    <col min="7938" max="7938" width="34.83203125" style="2" customWidth="1"/>
    <col min="7939" max="8190" width="10.1640625" style="2"/>
    <col min="8191" max="8191" width="12.5" style="2" customWidth="1"/>
    <col min="8192" max="8192" width="10.1640625" style="2"/>
    <col min="8193" max="8193" width="15.6640625" style="2" customWidth="1"/>
    <col min="8194" max="8194" width="34.83203125" style="2" customWidth="1"/>
    <col min="8195" max="8446" width="10.1640625" style="2"/>
    <col min="8447" max="8447" width="12.5" style="2" customWidth="1"/>
    <col min="8448" max="8448" width="10.1640625" style="2"/>
    <col min="8449" max="8449" width="15.6640625" style="2" customWidth="1"/>
    <col min="8450" max="8450" width="34.83203125" style="2" customWidth="1"/>
    <col min="8451" max="8702" width="10.1640625" style="2"/>
    <col min="8703" max="8703" width="12.5" style="2" customWidth="1"/>
    <col min="8704" max="8704" width="10.1640625" style="2"/>
    <col min="8705" max="8705" width="15.6640625" style="2" customWidth="1"/>
    <col min="8706" max="8706" width="34.83203125" style="2" customWidth="1"/>
    <col min="8707" max="8958" width="10.1640625" style="2"/>
    <col min="8959" max="8959" width="12.5" style="2" customWidth="1"/>
    <col min="8960" max="8960" width="10.1640625" style="2"/>
    <col min="8961" max="8961" width="15.6640625" style="2" customWidth="1"/>
    <col min="8962" max="8962" width="34.83203125" style="2" customWidth="1"/>
    <col min="8963" max="9214" width="10.1640625" style="2"/>
    <col min="9215" max="9215" width="12.5" style="2" customWidth="1"/>
    <col min="9216" max="9216" width="10.1640625" style="2"/>
    <col min="9217" max="9217" width="15.6640625" style="2" customWidth="1"/>
    <col min="9218" max="9218" width="34.83203125" style="2" customWidth="1"/>
    <col min="9219" max="9470" width="10.1640625" style="2"/>
    <col min="9471" max="9471" width="12.5" style="2" customWidth="1"/>
    <col min="9472" max="9472" width="10.1640625" style="2"/>
    <col min="9473" max="9473" width="15.6640625" style="2" customWidth="1"/>
    <col min="9474" max="9474" width="34.83203125" style="2" customWidth="1"/>
    <col min="9475" max="9726" width="10.1640625" style="2"/>
    <col min="9727" max="9727" width="12.5" style="2" customWidth="1"/>
    <col min="9728" max="9728" width="10.1640625" style="2"/>
    <col min="9729" max="9729" width="15.6640625" style="2" customWidth="1"/>
    <col min="9730" max="9730" width="34.83203125" style="2" customWidth="1"/>
    <col min="9731" max="9982" width="10.1640625" style="2"/>
    <col min="9983" max="9983" width="12.5" style="2" customWidth="1"/>
    <col min="9984" max="9984" width="10.1640625" style="2"/>
    <col min="9985" max="9985" width="15.6640625" style="2" customWidth="1"/>
    <col min="9986" max="9986" width="34.83203125" style="2" customWidth="1"/>
    <col min="9987" max="10238" width="10.1640625" style="2"/>
    <col min="10239" max="10239" width="12.5" style="2" customWidth="1"/>
    <col min="10240" max="10240" width="10.1640625" style="2"/>
    <col min="10241" max="10241" width="15.6640625" style="2" customWidth="1"/>
    <col min="10242" max="10242" width="34.83203125" style="2" customWidth="1"/>
    <col min="10243" max="10494" width="10.1640625" style="2"/>
    <col min="10495" max="10495" width="12.5" style="2" customWidth="1"/>
    <col min="10496" max="10496" width="10.1640625" style="2"/>
    <col min="10497" max="10497" width="15.6640625" style="2" customWidth="1"/>
    <col min="10498" max="10498" width="34.83203125" style="2" customWidth="1"/>
    <col min="10499" max="10750" width="10.1640625" style="2"/>
    <col min="10751" max="10751" width="12.5" style="2" customWidth="1"/>
    <col min="10752" max="10752" width="10.1640625" style="2"/>
    <col min="10753" max="10753" width="15.6640625" style="2" customWidth="1"/>
    <col min="10754" max="10754" width="34.83203125" style="2" customWidth="1"/>
    <col min="10755" max="11006" width="10.1640625" style="2"/>
    <col min="11007" max="11007" width="12.5" style="2" customWidth="1"/>
    <col min="11008" max="11008" width="10.1640625" style="2"/>
    <col min="11009" max="11009" width="15.6640625" style="2" customWidth="1"/>
    <col min="11010" max="11010" width="34.83203125" style="2" customWidth="1"/>
    <col min="11011" max="11262" width="10.1640625" style="2"/>
    <col min="11263" max="11263" width="12.5" style="2" customWidth="1"/>
    <col min="11264" max="11264" width="10.1640625" style="2"/>
    <col min="11265" max="11265" width="15.6640625" style="2" customWidth="1"/>
    <col min="11266" max="11266" width="34.83203125" style="2" customWidth="1"/>
    <col min="11267" max="11518" width="10.1640625" style="2"/>
    <col min="11519" max="11519" width="12.5" style="2" customWidth="1"/>
    <col min="11520" max="11520" width="10.1640625" style="2"/>
    <col min="11521" max="11521" width="15.6640625" style="2" customWidth="1"/>
    <col min="11522" max="11522" width="34.83203125" style="2" customWidth="1"/>
    <col min="11523" max="11774" width="10.1640625" style="2"/>
    <col min="11775" max="11775" width="12.5" style="2" customWidth="1"/>
    <col min="11776" max="11776" width="10.1640625" style="2"/>
    <col min="11777" max="11777" width="15.6640625" style="2" customWidth="1"/>
    <col min="11778" max="11778" width="34.83203125" style="2" customWidth="1"/>
    <col min="11779" max="12030" width="10.1640625" style="2"/>
    <col min="12031" max="12031" width="12.5" style="2" customWidth="1"/>
    <col min="12032" max="12032" width="10.1640625" style="2"/>
    <col min="12033" max="12033" width="15.6640625" style="2" customWidth="1"/>
    <col min="12034" max="12034" width="34.83203125" style="2" customWidth="1"/>
    <col min="12035" max="12286" width="10.1640625" style="2"/>
    <col min="12287" max="12287" width="12.5" style="2" customWidth="1"/>
    <col min="12288" max="12288" width="10.1640625" style="2"/>
    <col min="12289" max="12289" width="15.6640625" style="2" customWidth="1"/>
    <col min="12290" max="12290" width="34.83203125" style="2" customWidth="1"/>
    <col min="12291" max="12542" width="10.1640625" style="2"/>
    <col min="12543" max="12543" width="12.5" style="2" customWidth="1"/>
    <col min="12544" max="12544" width="10.1640625" style="2"/>
    <col min="12545" max="12545" width="15.6640625" style="2" customWidth="1"/>
    <col min="12546" max="12546" width="34.83203125" style="2" customWidth="1"/>
    <col min="12547" max="12798" width="10.1640625" style="2"/>
    <col min="12799" max="12799" width="12.5" style="2" customWidth="1"/>
    <col min="12800" max="12800" width="10.1640625" style="2"/>
    <col min="12801" max="12801" width="15.6640625" style="2" customWidth="1"/>
    <col min="12802" max="12802" width="34.83203125" style="2" customWidth="1"/>
    <col min="12803" max="13054" width="10.1640625" style="2"/>
    <col min="13055" max="13055" width="12.5" style="2" customWidth="1"/>
    <col min="13056" max="13056" width="10.1640625" style="2"/>
    <col min="13057" max="13057" width="15.6640625" style="2" customWidth="1"/>
    <col min="13058" max="13058" width="34.83203125" style="2" customWidth="1"/>
    <col min="13059" max="13310" width="10.1640625" style="2"/>
    <col min="13311" max="13311" width="12.5" style="2" customWidth="1"/>
    <col min="13312" max="13312" width="10.1640625" style="2"/>
    <col min="13313" max="13313" width="15.6640625" style="2" customWidth="1"/>
    <col min="13314" max="13314" width="34.83203125" style="2" customWidth="1"/>
    <col min="13315" max="13566" width="10.1640625" style="2"/>
    <col min="13567" max="13567" width="12.5" style="2" customWidth="1"/>
    <col min="13568" max="13568" width="10.1640625" style="2"/>
    <col min="13569" max="13569" width="15.6640625" style="2" customWidth="1"/>
    <col min="13570" max="13570" width="34.83203125" style="2" customWidth="1"/>
    <col min="13571" max="13822" width="10.1640625" style="2"/>
    <col min="13823" max="13823" width="12.5" style="2" customWidth="1"/>
    <col min="13824" max="13824" width="10.1640625" style="2"/>
    <col min="13825" max="13825" width="15.6640625" style="2" customWidth="1"/>
    <col min="13826" max="13826" width="34.83203125" style="2" customWidth="1"/>
    <col min="13827" max="14078" width="10.1640625" style="2"/>
    <col min="14079" max="14079" width="12.5" style="2" customWidth="1"/>
    <col min="14080" max="14080" width="10.1640625" style="2"/>
    <col min="14081" max="14081" width="15.6640625" style="2" customWidth="1"/>
    <col min="14082" max="14082" width="34.83203125" style="2" customWidth="1"/>
    <col min="14083" max="14334" width="10.1640625" style="2"/>
    <col min="14335" max="14335" width="12.5" style="2" customWidth="1"/>
    <col min="14336" max="14336" width="10.1640625" style="2"/>
    <col min="14337" max="14337" width="15.6640625" style="2" customWidth="1"/>
    <col min="14338" max="14338" width="34.83203125" style="2" customWidth="1"/>
    <col min="14339" max="14590" width="10.1640625" style="2"/>
    <col min="14591" max="14591" width="12.5" style="2" customWidth="1"/>
    <col min="14592" max="14592" width="10.1640625" style="2"/>
    <col min="14593" max="14593" width="15.6640625" style="2" customWidth="1"/>
    <col min="14594" max="14594" width="34.83203125" style="2" customWidth="1"/>
    <col min="14595" max="14846" width="10.1640625" style="2"/>
    <col min="14847" max="14847" width="12.5" style="2" customWidth="1"/>
    <col min="14848" max="14848" width="10.1640625" style="2"/>
    <col min="14849" max="14849" width="15.6640625" style="2" customWidth="1"/>
    <col min="14850" max="14850" width="34.83203125" style="2" customWidth="1"/>
    <col min="14851" max="15102" width="10.1640625" style="2"/>
    <col min="15103" max="15103" width="12.5" style="2" customWidth="1"/>
    <col min="15104" max="15104" width="10.1640625" style="2"/>
    <col min="15105" max="15105" width="15.6640625" style="2" customWidth="1"/>
    <col min="15106" max="15106" width="34.83203125" style="2" customWidth="1"/>
    <col min="15107" max="15358" width="10.1640625" style="2"/>
    <col min="15359" max="15359" width="12.5" style="2" customWidth="1"/>
    <col min="15360" max="15360" width="10.1640625" style="2"/>
    <col min="15361" max="15361" width="15.6640625" style="2" customWidth="1"/>
    <col min="15362" max="15362" width="34.83203125" style="2" customWidth="1"/>
    <col min="15363" max="15614" width="10.1640625" style="2"/>
    <col min="15615" max="15615" width="12.5" style="2" customWidth="1"/>
    <col min="15616" max="15616" width="10.1640625" style="2"/>
    <col min="15617" max="15617" width="15.6640625" style="2" customWidth="1"/>
    <col min="15618" max="15618" width="34.83203125" style="2" customWidth="1"/>
    <col min="15619" max="15870" width="10.1640625" style="2"/>
    <col min="15871" max="15871" width="12.5" style="2" customWidth="1"/>
    <col min="15872" max="15872" width="10.1640625" style="2"/>
    <col min="15873" max="15873" width="15.6640625" style="2" customWidth="1"/>
    <col min="15874" max="15874" width="34.83203125" style="2" customWidth="1"/>
    <col min="15875" max="16126" width="10.1640625" style="2"/>
    <col min="16127" max="16127" width="12.5" style="2" customWidth="1"/>
    <col min="16128" max="16128" width="10.1640625" style="2"/>
    <col min="16129" max="16129" width="15.6640625" style="2" customWidth="1"/>
    <col min="16130" max="16130" width="34.83203125" style="2" customWidth="1"/>
    <col min="16131" max="16384" width="10.1640625" style="2"/>
  </cols>
  <sheetData>
    <row r="1" spans="1:13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203</v>
      </c>
      <c r="L1" s="5" t="s">
        <v>10</v>
      </c>
      <c r="M1" s="5" t="s">
        <v>11</v>
      </c>
    </row>
    <row r="2" spans="1:13" s="3" customFormat="1" ht="73.5" customHeight="1" x14ac:dyDescent="0.2">
      <c r="A2" s="4" t="s">
        <v>39</v>
      </c>
      <c r="B2" s="3" t="s">
        <v>54</v>
      </c>
      <c r="D2" s="3" t="s">
        <v>171</v>
      </c>
      <c r="F2" s="8">
        <v>7.32</v>
      </c>
      <c r="G2" s="6">
        <f>0.484+0.087+0.176</f>
        <v>0.74699999999999989</v>
      </c>
      <c r="H2" s="6"/>
      <c r="I2" s="6">
        <v>7.1710000000000003</v>
      </c>
      <c r="J2" s="6">
        <f>66+34+42</f>
        <v>142</v>
      </c>
      <c r="K2" s="9">
        <v>2036</v>
      </c>
      <c r="L2" s="6">
        <v>1</v>
      </c>
      <c r="M2" s="6">
        <v>584</v>
      </c>
    </row>
    <row r="3" spans="1:13" s="4" customFormat="1" ht="73.5" customHeight="1" x14ac:dyDescent="0.2">
      <c r="A3" s="4" t="s">
        <v>39</v>
      </c>
      <c r="B3" s="4" t="s">
        <v>55</v>
      </c>
      <c r="D3" s="4" t="s">
        <v>151</v>
      </c>
      <c r="F3" s="8">
        <v>7.62</v>
      </c>
      <c r="G3" s="6">
        <f>0.489+0.089+0.18</f>
        <v>0.75800000000000001</v>
      </c>
      <c r="H3" s="6"/>
      <c r="I3" s="6">
        <v>7.4630000000000001</v>
      </c>
      <c r="J3" s="6">
        <f>66+34+42</f>
        <v>142</v>
      </c>
      <c r="K3" s="9">
        <v>2079</v>
      </c>
      <c r="L3" s="6">
        <v>1</v>
      </c>
      <c r="M3" s="6">
        <v>584</v>
      </c>
    </row>
    <row r="4" spans="1:13" s="4" customFormat="1" ht="73.5" customHeight="1" x14ac:dyDescent="0.2">
      <c r="A4" s="4" t="s">
        <v>39</v>
      </c>
      <c r="B4" s="4" t="s">
        <v>56</v>
      </c>
      <c r="D4" s="4" t="s">
        <v>137</v>
      </c>
      <c r="F4" s="8">
        <v>7.37</v>
      </c>
      <c r="G4" s="6">
        <f>0.481+0.095+0.176</f>
        <v>0.752</v>
      </c>
      <c r="H4" s="6"/>
      <c r="I4" s="6">
        <v>7.218</v>
      </c>
      <c r="J4" s="6">
        <f>66+34+42</f>
        <v>142</v>
      </c>
      <c r="K4" s="9">
        <v>2042</v>
      </c>
      <c r="L4" s="6">
        <v>1</v>
      </c>
      <c r="M4" s="6">
        <v>584</v>
      </c>
    </row>
    <row r="5" spans="1:13" s="3" customFormat="1" ht="73" customHeight="1" x14ac:dyDescent="0.2">
      <c r="A5" s="4" t="s">
        <v>40</v>
      </c>
      <c r="B5" s="3" t="s">
        <v>57</v>
      </c>
      <c r="D5" s="4" t="s">
        <v>171</v>
      </c>
      <c r="F5" s="8">
        <v>6.95</v>
      </c>
      <c r="G5" s="6">
        <f>0.344+0.097+0.187</f>
        <v>0.62799999999999989</v>
      </c>
      <c r="H5" s="6"/>
      <c r="I5" s="6">
        <v>6.82</v>
      </c>
      <c r="J5" s="6">
        <f>46+34+42</f>
        <v>122</v>
      </c>
      <c r="K5" s="9">
        <v>1874</v>
      </c>
      <c r="L5" s="6">
        <v>1</v>
      </c>
      <c r="M5" s="6">
        <v>584</v>
      </c>
    </row>
    <row r="6" spans="1:13" s="4" customFormat="1" ht="73" customHeight="1" x14ac:dyDescent="0.2">
      <c r="A6" s="4" t="s">
        <v>40</v>
      </c>
      <c r="B6" s="4" t="s">
        <v>58</v>
      </c>
      <c r="D6" s="4" t="s">
        <v>151</v>
      </c>
      <c r="F6" s="8">
        <v>6.51</v>
      </c>
      <c r="G6" s="6">
        <f>0.355+0.088+0.193</f>
        <v>0.6359999999999999</v>
      </c>
      <c r="H6" s="6"/>
      <c r="I6" s="6">
        <v>6.3769999999999998</v>
      </c>
      <c r="J6" s="6">
        <f>46+34+42</f>
        <v>122</v>
      </c>
      <c r="K6" s="9">
        <v>1844</v>
      </c>
      <c r="L6" s="6">
        <v>1</v>
      </c>
      <c r="M6" s="6">
        <v>584</v>
      </c>
    </row>
    <row r="7" spans="1:13" s="4" customFormat="1" ht="73" customHeight="1" x14ac:dyDescent="0.2">
      <c r="A7" s="4" t="s">
        <v>40</v>
      </c>
      <c r="B7" s="4" t="s">
        <v>59</v>
      </c>
      <c r="D7" s="4" t="s">
        <v>137</v>
      </c>
      <c r="F7" s="8">
        <v>6.83</v>
      </c>
      <c r="G7" s="6">
        <f>0.347+0.085+0.183</f>
        <v>0.61499999999999999</v>
      </c>
      <c r="H7" s="6"/>
      <c r="I7" s="6">
        <v>6.7119999999999997</v>
      </c>
      <c r="J7" s="6">
        <f>46+34+42</f>
        <v>122</v>
      </c>
      <c r="K7" s="9">
        <v>1854</v>
      </c>
      <c r="L7" s="6">
        <v>1</v>
      </c>
      <c r="M7" s="6">
        <v>584</v>
      </c>
    </row>
    <row r="8" spans="1:13" s="3" customFormat="1" ht="73" customHeight="1" x14ac:dyDescent="0.2">
      <c r="A8" s="3" t="s">
        <v>12</v>
      </c>
      <c r="B8" s="3" t="s">
        <v>60</v>
      </c>
      <c r="D8" s="4" t="s">
        <v>172</v>
      </c>
      <c r="F8" s="8">
        <v>11.54</v>
      </c>
      <c r="G8" s="6">
        <f>0.479+0.472</f>
        <v>0.95099999999999996</v>
      </c>
      <c r="H8" s="6">
        <v>0.15</v>
      </c>
      <c r="I8" s="6">
        <v>11.317</v>
      </c>
      <c r="J8" s="6">
        <f>186+134</f>
        <v>320</v>
      </c>
      <c r="K8" s="9">
        <v>2689</v>
      </c>
      <c r="L8" s="6">
        <v>1</v>
      </c>
      <c r="M8" s="6">
        <v>584</v>
      </c>
    </row>
    <row r="9" spans="1:13" s="4" customFormat="1" ht="73" customHeight="1" x14ac:dyDescent="0.2">
      <c r="A9" s="4" t="s">
        <v>12</v>
      </c>
      <c r="B9" s="4" t="s">
        <v>61</v>
      </c>
      <c r="D9" s="4" t="s">
        <v>152</v>
      </c>
      <c r="F9" s="8">
        <v>11.68</v>
      </c>
      <c r="G9" s="6">
        <f>0.6+0.58</f>
        <v>1.18</v>
      </c>
      <c r="H9" s="6">
        <v>0.14000000000000001</v>
      </c>
      <c r="I9" s="6">
        <v>11.455</v>
      </c>
      <c r="J9" s="6">
        <f>186+134</f>
        <v>320</v>
      </c>
      <c r="K9" s="9">
        <v>2904</v>
      </c>
      <c r="L9" s="6">
        <v>1</v>
      </c>
      <c r="M9" s="6">
        <v>584</v>
      </c>
    </row>
    <row r="10" spans="1:13" s="3" customFormat="1" ht="73" customHeight="1" x14ac:dyDescent="0.2">
      <c r="A10" s="3" t="s">
        <v>13</v>
      </c>
      <c r="B10" s="3" t="s">
        <v>62</v>
      </c>
      <c r="D10" s="3" t="s">
        <v>173</v>
      </c>
      <c r="F10" s="8">
        <v>12.79</v>
      </c>
      <c r="G10" s="6">
        <v>0.505</v>
      </c>
      <c r="H10" s="6">
        <v>0.621</v>
      </c>
      <c r="I10" s="6">
        <v>12.568</v>
      </c>
      <c r="J10" s="6">
        <v>197</v>
      </c>
      <c r="K10" s="9">
        <v>2465</v>
      </c>
      <c r="L10" s="6">
        <v>1</v>
      </c>
      <c r="M10" s="6">
        <v>584</v>
      </c>
    </row>
    <row r="11" spans="1:13" s="3" customFormat="1" ht="73" customHeight="1" x14ac:dyDescent="0.2">
      <c r="A11" s="3" t="s">
        <v>14</v>
      </c>
      <c r="B11" s="3" t="s">
        <v>63</v>
      </c>
      <c r="D11" s="4" t="s">
        <v>174</v>
      </c>
      <c r="F11" s="8">
        <v>15.27</v>
      </c>
      <c r="G11" s="6">
        <v>15.095000000000001</v>
      </c>
      <c r="H11" s="6"/>
      <c r="I11" s="6">
        <v>0.86099999999999999</v>
      </c>
      <c r="J11" s="6">
        <v>312</v>
      </c>
      <c r="K11" s="9">
        <v>2877</v>
      </c>
      <c r="L11" s="6">
        <v>1</v>
      </c>
      <c r="M11" s="6">
        <v>584</v>
      </c>
    </row>
    <row r="12" spans="1:13" s="4" customFormat="1" ht="73" customHeight="1" x14ac:dyDescent="0.2">
      <c r="A12" s="4" t="s">
        <v>38</v>
      </c>
      <c r="B12" s="4" t="s">
        <v>64</v>
      </c>
      <c r="D12" s="4" t="s">
        <v>175</v>
      </c>
      <c r="E12" s="4" t="s">
        <v>45</v>
      </c>
      <c r="F12" s="8">
        <v>25.17</v>
      </c>
      <c r="G12" s="6">
        <v>3.5390000000000001</v>
      </c>
      <c r="H12" s="6"/>
      <c r="I12" s="6">
        <v>24.459</v>
      </c>
      <c r="J12" s="6">
        <v>1548</v>
      </c>
      <c r="K12" s="9">
        <v>7669</v>
      </c>
      <c r="L12" s="6">
        <v>1</v>
      </c>
      <c r="M12" s="6">
        <v>584</v>
      </c>
    </row>
    <row r="13" spans="1:13" s="3" customFormat="1" ht="73" customHeight="1" x14ac:dyDescent="0.2">
      <c r="A13" s="3" t="s">
        <v>15</v>
      </c>
      <c r="B13" s="3" t="s">
        <v>65</v>
      </c>
      <c r="D13" s="4" t="s">
        <v>138</v>
      </c>
      <c r="F13" s="8">
        <v>6.82</v>
      </c>
      <c r="G13" s="6">
        <v>0.40600000000000003</v>
      </c>
      <c r="H13" s="6">
        <v>11.7</v>
      </c>
      <c r="I13" s="6">
        <v>4.3979999999999997</v>
      </c>
      <c r="J13" s="6">
        <v>110</v>
      </c>
      <c r="K13" s="9">
        <v>1329</v>
      </c>
      <c r="L13" s="6">
        <v>1</v>
      </c>
      <c r="M13" s="6">
        <v>581</v>
      </c>
    </row>
    <row r="14" spans="1:13" s="3" customFormat="1" ht="73" customHeight="1" x14ac:dyDescent="0.2">
      <c r="A14" s="3" t="s">
        <v>16</v>
      </c>
      <c r="B14" s="3" t="s">
        <v>66</v>
      </c>
      <c r="D14" s="4" t="s">
        <v>176</v>
      </c>
      <c r="F14" s="8">
        <v>8.4700000000000006</v>
      </c>
      <c r="G14" s="6">
        <v>0.66500000000000004</v>
      </c>
      <c r="H14" s="6">
        <v>16.693999999999999</v>
      </c>
      <c r="I14" s="8">
        <v>4.9939999999999998</v>
      </c>
      <c r="J14" s="6">
        <v>246</v>
      </c>
      <c r="K14" s="9">
        <v>1676</v>
      </c>
      <c r="L14" s="6">
        <v>1</v>
      </c>
      <c r="M14" s="6">
        <v>581</v>
      </c>
    </row>
    <row r="15" spans="1:13" s="4" customFormat="1" ht="73" customHeight="1" x14ac:dyDescent="0.2">
      <c r="A15" s="4" t="s">
        <v>46</v>
      </c>
      <c r="B15" s="4" t="s">
        <v>67</v>
      </c>
      <c r="D15" s="4" t="s">
        <v>153</v>
      </c>
      <c r="F15" s="8">
        <v>8.6</v>
      </c>
      <c r="G15" s="6">
        <v>0.67200000000000004</v>
      </c>
      <c r="H15" s="6">
        <v>16.48</v>
      </c>
      <c r="I15" s="8">
        <v>5.1719999999999997</v>
      </c>
      <c r="J15" s="6">
        <v>246</v>
      </c>
      <c r="K15" s="9">
        <v>1699</v>
      </c>
      <c r="L15" s="6">
        <v>1</v>
      </c>
      <c r="M15" s="6">
        <v>581</v>
      </c>
    </row>
    <row r="16" spans="1:13" s="3" customFormat="1" ht="73" customHeight="1" x14ac:dyDescent="0.2">
      <c r="A16" s="4" t="s">
        <v>47</v>
      </c>
      <c r="B16" s="3" t="s">
        <v>68</v>
      </c>
      <c r="D16" s="4" t="s">
        <v>177</v>
      </c>
      <c r="F16" s="8">
        <v>8.9</v>
      </c>
      <c r="G16" s="6">
        <v>0.59399999999999997</v>
      </c>
      <c r="H16" s="6">
        <f>15.2+3.63</f>
        <v>18.829999999999998</v>
      </c>
      <c r="I16" s="6">
        <v>5.0179999999999998</v>
      </c>
      <c r="J16" s="6">
        <v>228</v>
      </c>
      <c r="K16" s="9">
        <v>1795</v>
      </c>
      <c r="L16" s="6">
        <v>1</v>
      </c>
      <c r="M16" s="6">
        <v>581</v>
      </c>
    </row>
    <row r="17" spans="1:13" s="4" customFormat="1" ht="73" customHeight="1" x14ac:dyDescent="0.2">
      <c r="A17" s="4" t="s">
        <v>17</v>
      </c>
      <c r="B17" s="4" t="s">
        <v>69</v>
      </c>
      <c r="D17" s="4" t="s">
        <v>154</v>
      </c>
      <c r="F17" s="8">
        <v>8.93</v>
      </c>
      <c r="G17" s="6">
        <v>0.61199999999999999</v>
      </c>
      <c r="H17" s="6">
        <f>15.75+3.56</f>
        <v>19.309999999999999</v>
      </c>
      <c r="I17" s="6">
        <v>4.9480000000000004</v>
      </c>
      <c r="J17" s="6">
        <v>228</v>
      </c>
      <c r="K17" s="9">
        <v>1824</v>
      </c>
      <c r="L17" s="6">
        <v>1</v>
      </c>
      <c r="M17" s="6">
        <v>581</v>
      </c>
    </row>
    <row r="18" spans="1:13" s="3" customFormat="1" ht="73" customHeight="1" x14ac:dyDescent="0.2">
      <c r="A18" s="3" t="s">
        <v>18</v>
      </c>
      <c r="B18" s="3" t="s">
        <v>70</v>
      </c>
      <c r="D18" s="4" t="s">
        <v>178</v>
      </c>
      <c r="F18" s="8">
        <v>9.17</v>
      </c>
      <c r="G18" s="6">
        <v>0.61099999999999999</v>
      </c>
      <c r="H18" s="6">
        <f>4.49+14.92</f>
        <v>19.41</v>
      </c>
      <c r="I18" s="6">
        <v>5.1639999999999997</v>
      </c>
      <c r="J18" s="6">
        <v>224</v>
      </c>
      <c r="K18" s="9">
        <v>1623</v>
      </c>
      <c r="L18" s="6">
        <v>1</v>
      </c>
      <c r="M18" s="6">
        <v>581</v>
      </c>
    </row>
    <row r="19" spans="1:13" s="4" customFormat="1" ht="73" customHeight="1" x14ac:dyDescent="0.2">
      <c r="A19" s="4" t="s">
        <v>18</v>
      </c>
      <c r="B19" s="4" t="s">
        <v>71</v>
      </c>
      <c r="D19" s="4" t="s">
        <v>155</v>
      </c>
      <c r="F19" s="8">
        <v>9.0679999999999996</v>
      </c>
      <c r="G19" s="6">
        <v>0.59199999999999997</v>
      </c>
      <c r="H19" s="6">
        <f>4.88+14.74</f>
        <v>19.62</v>
      </c>
      <c r="I19" s="6">
        <v>5.0190000000000001</v>
      </c>
      <c r="J19" s="6">
        <v>224</v>
      </c>
      <c r="K19" s="9">
        <v>1590</v>
      </c>
      <c r="L19" s="6">
        <v>1</v>
      </c>
      <c r="M19" s="6">
        <v>581</v>
      </c>
    </row>
    <row r="20" spans="1:13" s="3" customFormat="1" ht="73" customHeight="1" x14ac:dyDescent="0.2">
      <c r="A20" s="3" t="s">
        <v>19</v>
      </c>
      <c r="B20" s="3" t="s">
        <v>72</v>
      </c>
      <c r="D20" s="4" t="s">
        <v>179</v>
      </c>
      <c r="F20" s="8">
        <v>8.0500000000000007</v>
      </c>
      <c r="G20" s="6">
        <v>0.67400000000000004</v>
      </c>
      <c r="H20" s="6">
        <v>13.93</v>
      </c>
      <c r="I20" s="6">
        <v>5.1239999999999997</v>
      </c>
      <c r="J20" s="6">
        <v>246</v>
      </c>
      <c r="K20" s="9">
        <v>1659</v>
      </c>
      <c r="L20" s="6">
        <v>1</v>
      </c>
      <c r="M20" s="6">
        <v>581</v>
      </c>
    </row>
    <row r="21" spans="1:13" s="4" customFormat="1" ht="73" customHeight="1" x14ac:dyDescent="0.2">
      <c r="A21" s="4" t="s">
        <v>19</v>
      </c>
      <c r="B21" s="4" t="s">
        <v>73</v>
      </c>
      <c r="D21" s="4" t="s">
        <v>156</v>
      </c>
      <c r="F21" s="8">
        <v>8.14</v>
      </c>
      <c r="G21" s="6">
        <v>0.67800000000000005</v>
      </c>
      <c r="H21" s="6">
        <v>15.41</v>
      </c>
      <c r="I21" s="6">
        <v>4.9210000000000003</v>
      </c>
      <c r="J21" s="6">
        <v>246</v>
      </c>
      <c r="K21" s="9">
        <v>1653</v>
      </c>
      <c r="L21" s="6">
        <v>1</v>
      </c>
      <c r="M21" s="6">
        <v>581</v>
      </c>
    </row>
    <row r="22" spans="1:13" s="3" customFormat="1" ht="73" customHeight="1" x14ac:dyDescent="0.2">
      <c r="A22" s="3" t="s">
        <v>20</v>
      </c>
      <c r="B22" s="3" t="s">
        <v>74</v>
      </c>
      <c r="D22" s="4" t="s">
        <v>180</v>
      </c>
      <c r="F22" s="8">
        <v>3.46</v>
      </c>
      <c r="G22" s="6">
        <v>4.2000000000000003E-2</v>
      </c>
      <c r="H22" s="6">
        <v>3.645</v>
      </c>
      <c r="I22" s="6">
        <v>0.99299999999999999</v>
      </c>
      <c r="J22" s="6">
        <v>14</v>
      </c>
      <c r="K22" s="9">
        <v>277</v>
      </c>
      <c r="L22" s="6">
        <v>2</v>
      </c>
      <c r="M22" s="6">
        <v>581</v>
      </c>
    </row>
    <row r="23" spans="1:13" s="4" customFormat="1" ht="73" customHeight="1" x14ac:dyDescent="0.2">
      <c r="A23" s="4" t="s">
        <v>20</v>
      </c>
      <c r="B23" s="4" t="s">
        <v>75</v>
      </c>
      <c r="D23" s="4" t="s">
        <v>157</v>
      </c>
      <c r="F23" s="8">
        <v>3.51</v>
      </c>
      <c r="G23" s="6">
        <v>3.7999999999999999E-2</v>
      </c>
      <c r="H23" s="6">
        <v>3.8</v>
      </c>
      <c r="I23" s="6">
        <v>0.98699999999999999</v>
      </c>
      <c r="J23" s="6">
        <v>14</v>
      </c>
      <c r="K23" s="9">
        <v>273</v>
      </c>
      <c r="L23" s="6">
        <v>2</v>
      </c>
      <c r="M23" s="6">
        <v>581</v>
      </c>
    </row>
    <row r="24" spans="1:13" s="4" customFormat="1" ht="73" customHeight="1" x14ac:dyDescent="0.2">
      <c r="A24" s="4" t="s">
        <v>20</v>
      </c>
      <c r="B24" s="4" t="s">
        <v>76</v>
      </c>
      <c r="D24" s="4" t="s">
        <v>139</v>
      </c>
      <c r="F24" s="8">
        <v>3.42</v>
      </c>
      <c r="G24" s="6">
        <v>3.9E-2</v>
      </c>
      <c r="H24" s="6">
        <v>3.61</v>
      </c>
      <c r="I24" s="6">
        <v>0.97799999999999998</v>
      </c>
      <c r="J24" s="6">
        <v>14</v>
      </c>
      <c r="K24" s="9">
        <v>273</v>
      </c>
      <c r="L24" s="6">
        <v>2</v>
      </c>
      <c r="M24" s="6">
        <v>581</v>
      </c>
    </row>
    <row r="25" spans="1:13" s="3" customFormat="1" ht="73" customHeight="1" x14ac:dyDescent="0.2">
      <c r="A25" s="3" t="s">
        <v>21</v>
      </c>
      <c r="B25" s="3" t="s">
        <v>77</v>
      </c>
      <c r="D25" s="4" t="s">
        <v>181</v>
      </c>
      <c r="F25" s="8">
        <v>4</v>
      </c>
      <c r="G25" s="6">
        <v>0.32200000000000001</v>
      </c>
      <c r="H25" s="6">
        <v>1.202</v>
      </c>
      <c r="I25" s="6">
        <v>3.6920000000000002</v>
      </c>
      <c r="J25" s="6">
        <v>118</v>
      </c>
      <c r="K25" s="9">
        <v>1201</v>
      </c>
      <c r="L25" s="6">
        <v>1</v>
      </c>
      <c r="M25" s="6">
        <v>581</v>
      </c>
    </row>
    <row r="26" spans="1:13" s="3" customFormat="1" ht="73" customHeight="1" x14ac:dyDescent="0.2">
      <c r="A26" s="3" t="s">
        <v>22</v>
      </c>
      <c r="B26" s="3" t="s">
        <v>78</v>
      </c>
      <c r="D26" s="4" t="s">
        <v>182</v>
      </c>
      <c r="F26" s="8">
        <v>3.97</v>
      </c>
      <c r="G26" s="6">
        <v>0.32800000000000001</v>
      </c>
      <c r="H26" s="6">
        <v>1.2110000000000001</v>
      </c>
      <c r="I26" s="6">
        <v>3.661</v>
      </c>
      <c r="J26" s="6">
        <v>124</v>
      </c>
      <c r="K26" s="9">
        <v>1402</v>
      </c>
      <c r="L26" s="6">
        <v>1</v>
      </c>
      <c r="M26" s="6">
        <v>581</v>
      </c>
    </row>
    <row r="27" spans="1:13" s="3" customFormat="1" ht="73" customHeight="1" x14ac:dyDescent="0.2">
      <c r="A27" s="3" t="s">
        <v>23</v>
      </c>
      <c r="B27" s="3" t="s">
        <v>79</v>
      </c>
      <c r="D27" s="10" t="s">
        <v>183</v>
      </c>
      <c r="F27" s="8">
        <f>5.17/3</f>
        <v>1.7233333333333334</v>
      </c>
      <c r="G27" s="6">
        <f>0.077+0.064</f>
        <v>0.14100000000000001</v>
      </c>
      <c r="H27" s="6">
        <f>0.197</f>
        <v>0.19700000000000001</v>
      </c>
      <c r="I27" s="6">
        <v>1.6539999999999999</v>
      </c>
      <c r="J27" s="6">
        <f>32+16</f>
        <v>48</v>
      </c>
      <c r="K27" s="9">
        <v>442</v>
      </c>
      <c r="L27" s="6">
        <v>3</v>
      </c>
      <c r="M27" s="6">
        <v>581</v>
      </c>
    </row>
    <row r="28" spans="1:13" s="4" customFormat="1" ht="73" customHeight="1" x14ac:dyDescent="0.2">
      <c r="A28" s="4" t="s">
        <v>23</v>
      </c>
      <c r="B28" s="4" t="s">
        <v>80</v>
      </c>
      <c r="D28" s="10" t="s">
        <v>158</v>
      </c>
      <c r="F28" s="8">
        <f>5.37/3</f>
        <v>1.79</v>
      </c>
      <c r="G28" s="6">
        <f>0.083+0.066</f>
        <v>0.14900000000000002</v>
      </c>
      <c r="H28" s="6">
        <v>0.19700000000000001</v>
      </c>
      <c r="I28" s="6">
        <v>1.7190000000000001</v>
      </c>
      <c r="J28" s="6">
        <f>32+16</f>
        <v>48</v>
      </c>
      <c r="K28" s="9">
        <v>458</v>
      </c>
      <c r="L28" s="6">
        <v>3</v>
      </c>
      <c r="M28" s="6">
        <v>581</v>
      </c>
    </row>
    <row r="29" spans="1:13" s="3" customFormat="1" ht="73" customHeight="1" x14ac:dyDescent="0.2">
      <c r="A29" s="3" t="s">
        <v>24</v>
      </c>
      <c r="B29" s="3" t="s">
        <v>81</v>
      </c>
      <c r="D29" s="4" t="s">
        <v>184</v>
      </c>
      <c r="F29" s="8">
        <f>4.07/3</f>
        <v>1.3566666666666667</v>
      </c>
      <c r="G29" s="6"/>
      <c r="H29" s="6">
        <v>0.19400000000000001</v>
      </c>
      <c r="I29" s="6">
        <v>1.3180000000000001</v>
      </c>
      <c r="J29" s="6">
        <v>60</v>
      </c>
      <c r="K29" s="9">
        <v>363</v>
      </c>
      <c r="L29" s="6">
        <v>3</v>
      </c>
      <c r="M29" s="6">
        <v>581</v>
      </c>
    </row>
    <row r="30" spans="1:13" s="3" customFormat="1" ht="73" customHeight="1" x14ac:dyDescent="0.2">
      <c r="A30" s="3" t="s">
        <v>25</v>
      </c>
      <c r="B30" s="3" t="s">
        <v>82</v>
      </c>
      <c r="D30" s="4" t="s">
        <v>185</v>
      </c>
      <c r="F30" s="8">
        <f>5.38/4</f>
        <v>1.345</v>
      </c>
      <c r="G30" s="6">
        <v>9.8000000000000004E-2</v>
      </c>
      <c r="H30" s="6">
        <v>0.495</v>
      </c>
      <c r="I30" s="6">
        <v>1.228</v>
      </c>
      <c r="J30" s="6">
        <v>30</v>
      </c>
      <c r="K30" s="9">
        <v>333</v>
      </c>
      <c r="L30" s="6">
        <v>4</v>
      </c>
      <c r="M30" s="6">
        <v>581</v>
      </c>
    </row>
    <row r="31" spans="1:13" s="4" customFormat="1" ht="73" customHeight="1" x14ac:dyDescent="0.2">
      <c r="A31" s="4" t="s">
        <v>25</v>
      </c>
      <c r="B31" s="4" t="s">
        <v>83</v>
      </c>
      <c r="D31" s="4" t="s">
        <v>159</v>
      </c>
      <c r="F31" s="8">
        <f>2.7/2</f>
        <v>1.35</v>
      </c>
      <c r="G31" s="6">
        <v>0.1</v>
      </c>
      <c r="H31" s="6">
        <v>0.48</v>
      </c>
      <c r="I31" s="6">
        <v>1.2330000000000001</v>
      </c>
      <c r="J31" s="6">
        <v>30</v>
      </c>
      <c r="K31" s="9">
        <v>336</v>
      </c>
      <c r="L31" s="6">
        <v>2</v>
      </c>
      <c r="M31" s="6">
        <v>581</v>
      </c>
    </row>
    <row r="32" spans="1:13" s="3" customFormat="1" ht="73" customHeight="1" x14ac:dyDescent="0.2">
      <c r="A32" s="3" t="s">
        <v>26</v>
      </c>
      <c r="B32" s="3" t="s">
        <v>84</v>
      </c>
      <c r="D32" s="4" t="s">
        <v>186</v>
      </c>
      <c r="F32" s="8">
        <f>3.41/3</f>
        <v>1.1366666666666667</v>
      </c>
      <c r="G32" s="6">
        <v>2.1000000000000001E-2</v>
      </c>
      <c r="H32" s="6"/>
      <c r="I32" s="6">
        <v>1.1339999999999999</v>
      </c>
      <c r="J32" s="6">
        <v>2</v>
      </c>
      <c r="K32" s="9">
        <v>204</v>
      </c>
      <c r="L32" s="6">
        <v>3</v>
      </c>
      <c r="M32" s="6">
        <v>581</v>
      </c>
    </row>
    <row r="33" spans="1:13" s="4" customFormat="1" ht="73" customHeight="1" x14ac:dyDescent="0.2">
      <c r="A33" s="4" t="s">
        <v>26</v>
      </c>
      <c r="B33" s="4" t="s">
        <v>85</v>
      </c>
      <c r="D33" s="4" t="s">
        <v>160</v>
      </c>
      <c r="F33" s="8">
        <f>3.37/3</f>
        <v>1.1233333333333333</v>
      </c>
      <c r="G33" s="6">
        <v>0.02</v>
      </c>
      <c r="H33" s="6"/>
      <c r="I33" s="6">
        <v>1.1180000000000001</v>
      </c>
      <c r="J33" s="6">
        <v>2</v>
      </c>
      <c r="K33" s="9">
        <v>201</v>
      </c>
      <c r="L33" s="6">
        <v>3</v>
      </c>
      <c r="M33" s="6">
        <v>581</v>
      </c>
    </row>
    <row r="34" spans="1:13" s="4" customFormat="1" ht="73" customHeight="1" x14ac:dyDescent="0.2">
      <c r="A34" s="4" t="s">
        <v>26</v>
      </c>
      <c r="B34" s="4" t="s">
        <v>86</v>
      </c>
      <c r="D34" s="4" t="s">
        <v>140</v>
      </c>
      <c r="F34" s="8">
        <f>3.43/3</f>
        <v>1.1433333333333333</v>
      </c>
      <c r="G34" s="6">
        <v>2.1000000000000001E-2</v>
      </c>
      <c r="H34" s="6"/>
      <c r="I34" s="6">
        <v>1.139</v>
      </c>
      <c r="J34" s="6">
        <v>2</v>
      </c>
      <c r="K34" s="9">
        <v>204</v>
      </c>
      <c r="L34" s="6">
        <v>3</v>
      </c>
      <c r="M34" s="6">
        <v>581</v>
      </c>
    </row>
    <row r="35" spans="1:13" s="3" customFormat="1" ht="73" customHeight="1" x14ac:dyDescent="0.2">
      <c r="A35" s="3" t="s">
        <v>27</v>
      </c>
      <c r="B35" s="3" t="s">
        <v>87</v>
      </c>
      <c r="D35" s="4" t="s">
        <v>187</v>
      </c>
      <c r="F35" s="8">
        <v>2.2799999999999998</v>
      </c>
      <c r="G35" s="6">
        <f>0.016+0.011+0.143</f>
        <v>0.16999999999999998</v>
      </c>
      <c r="H35" s="6"/>
      <c r="I35" s="6">
        <v>2.2490000000000001</v>
      </c>
      <c r="J35" s="6">
        <f>61+2+1</f>
        <v>64</v>
      </c>
      <c r="K35" s="9">
        <v>570</v>
      </c>
      <c r="L35" s="6">
        <v>1</v>
      </c>
      <c r="M35" s="6">
        <v>589</v>
      </c>
    </row>
    <row r="36" spans="1:13" s="4" customFormat="1" ht="73" customHeight="1" x14ac:dyDescent="0.2">
      <c r="A36" s="4" t="s">
        <v>27</v>
      </c>
      <c r="B36" s="4" t="s">
        <v>88</v>
      </c>
      <c r="D36" s="4" t="s">
        <v>161</v>
      </c>
      <c r="F36" s="8">
        <v>2.2029999999999998</v>
      </c>
      <c r="G36" s="6">
        <f>0.014+0.011+0.14</f>
        <v>0.16500000000000001</v>
      </c>
      <c r="H36" s="6"/>
      <c r="I36" s="6">
        <v>2.2029999999999998</v>
      </c>
      <c r="J36" s="6">
        <v>64</v>
      </c>
      <c r="K36" s="9">
        <v>561</v>
      </c>
      <c r="L36" s="6">
        <v>1</v>
      </c>
      <c r="M36" s="6">
        <v>589</v>
      </c>
    </row>
    <row r="37" spans="1:13" s="4" customFormat="1" ht="73" customHeight="1" x14ac:dyDescent="0.2">
      <c r="A37" s="4" t="s">
        <v>27</v>
      </c>
      <c r="B37" s="4" t="s">
        <v>89</v>
      </c>
      <c r="D37" s="4" t="s">
        <v>141</v>
      </c>
      <c r="F37" s="8">
        <v>2.25</v>
      </c>
      <c r="G37" s="6">
        <f>0.015+0.011+0.144</f>
        <v>0.16999999999999998</v>
      </c>
      <c r="H37" s="6"/>
      <c r="I37" s="6">
        <v>2.2149999999999999</v>
      </c>
      <c r="J37" s="6">
        <v>64</v>
      </c>
      <c r="K37" s="9">
        <v>567</v>
      </c>
      <c r="L37" s="6">
        <v>1</v>
      </c>
      <c r="M37" s="6">
        <v>589</v>
      </c>
    </row>
    <row r="38" spans="1:13" s="3" customFormat="1" ht="73" customHeight="1" x14ac:dyDescent="0.2">
      <c r="A38" s="3" t="s">
        <v>28</v>
      </c>
      <c r="B38" s="3" t="s">
        <v>90</v>
      </c>
      <c r="D38" s="4" t="s">
        <v>188</v>
      </c>
      <c r="F38" s="8">
        <v>7.57</v>
      </c>
      <c r="G38" s="6">
        <f>0.242+0.231</f>
        <v>0.47299999999999998</v>
      </c>
      <c r="H38" s="6">
        <v>15.44</v>
      </c>
      <c r="I38" s="6">
        <v>4.3849999999999998</v>
      </c>
      <c r="J38" s="6">
        <f>24+78</f>
        <v>102</v>
      </c>
      <c r="K38" s="9">
        <v>1392</v>
      </c>
      <c r="L38" s="6">
        <v>1</v>
      </c>
      <c r="M38" s="6">
        <v>589</v>
      </c>
    </row>
    <row r="39" spans="1:13" s="4" customFormat="1" ht="73" customHeight="1" x14ac:dyDescent="0.2">
      <c r="A39" s="4" t="s">
        <v>28</v>
      </c>
      <c r="B39" s="4" t="s">
        <v>91</v>
      </c>
      <c r="D39" s="4" t="s">
        <v>162</v>
      </c>
      <c r="F39" s="8">
        <v>7.48</v>
      </c>
      <c r="G39" s="6">
        <f>0.233+0.225</f>
        <v>0.45800000000000002</v>
      </c>
      <c r="H39" s="6">
        <v>15.1</v>
      </c>
      <c r="I39" s="6">
        <v>4.3630000000000004</v>
      </c>
      <c r="J39" s="6">
        <f>24+78</f>
        <v>102</v>
      </c>
      <c r="K39" s="9">
        <v>1369</v>
      </c>
      <c r="L39" s="6">
        <v>1</v>
      </c>
      <c r="M39" s="6">
        <v>589</v>
      </c>
    </row>
    <row r="40" spans="1:13" s="3" customFormat="1" ht="73" customHeight="1" x14ac:dyDescent="0.2">
      <c r="A40" s="4" t="s">
        <v>48</v>
      </c>
      <c r="B40" s="3" t="s">
        <v>92</v>
      </c>
      <c r="D40" s="4" t="s">
        <v>189</v>
      </c>
      <c r="F40" s="8">
        <f>5.08/2</f>
        <v>2.54</v>
      </c>
      <c r="G40" s="6">
        <f>0.016+0.039+0.023</f>
        <v>7.8E-2</v>
      </c>
      <c r="H40" s="6"/>
      <c r="I40" s="6">
        <v>2.5249999999999999</v>
      </c>
      <c r="J40" s="6">
        <f>2+16+6</f>
        <v>24</v>
      </c>
      <c r="K40" s="9">
        <v>488</v>
      </c>
      <c r="L40" s="6">
        <v>2</v>
      </c>
      <c r="M40" s="6">
        <v>589</v>
      </c>
    </row>
    <row r="41" spans="1:13" s="4" customFormat="1" ht="73" customHeight="1" x14ac:dyDescent="0.2">
      <c r="A41" s="4" t="s">
        <v>48</v>
      </c>
      <c r="B41" s="4" t="s">
        <v>93</v>
      </c>
      <c r="D41" s="4" t="s">
        <v>163</v>
      </c>
      <c r="F41" s="8">
        <f>5/2</f>
        <v>2.5</v>
      </c>
      <c r="G41" s="6">
        <f>0.016+0.036+0.022</f>
        <v>7.3999999999999996E-2</v>
      </c>
      <c r="H41" s="6"/>
      <c r="I41" s="6">
        <v>2.484</v>
      </c>
      <c r="J41" s="6">
        <f>2+16+6</f>
        <v>24</v>
      </c>
      <c r="K41" s="9">
        <v>481</v>
      </c>
      <c r="L41" s="6">
        <v>2</v>
      </c>
      <c r="M41" s="6">
        <v>589</v>
      </c>
    </row>
    <row r="42" spans="1:13" s="3" customFormat="1" ht="73" customHeight="1" x14ac:dyDescent="0.2">
      <c r="A42" s="3" t="s">
        <v>29</v>
      </c>
      <c r="B42" s="3" t="s">
        <v>94</v>
      </c>
      <c r="D42" s="4" t="s">
        <v>190</v>
      </c>
      <c r="F42" s="8">
        <f>4.06/6</f>
        <v>0.67666666666666664</v>
      </c>
      <c r="G42" s="6"/>
      <c r="H42" s="6">
        <v>0.123</v>
      </c>
      <c r="I42" s="6">
        <v>0.65300000000000002</v>
      </c>
      <c r="J42" s="6"/>
      <c r="K42" s="9">
        <v>168</v>
      </c>
      <c r="L42" s="6">
        <v>6</v>
      </c>
      <c r="M42" s="6">
        <v>5810</v>
      </c>
    </row>
    <row r="43" spans="1:13" s="3" customFormat="1" ht="73" customHeight="1" x14ac:dyDescent="0.2">
      <c r="A43" s="3" t="s">
        <v>30</v>
      </c>
      <c r="B43" s="3" t="s">
        <v>95</v>
      </c>
      <c r="D43" s="3" t="s">
        <v>191</v>
      </c>
      <c r="F43" s="8">
        <v>1.1000000000000001</v>
      </c>
      <c r="G43" s="6">
        <f>0.01+0.14+0.125</f>
        <v>0.27500000000000002</v>
      </c>
      <c r="H43" s="6"/>
      <c r="I43" s="6">
        <v>1.05</v>
      </c>
      <c r="J43" s="6">
        <f>2+44+29</f>
        <v>75</v>
      </c>
      <c r="K43" s="9">
        <v>468</v>
      </c>
      <c r="L43" s="6">
        <v>1</v>
      </c>
      <c r="M43" s="6">
        <v>5810</v>
      </c>
    </row>
    <row r="44" spans="1:13" s="4" customFormat="1" ht="73" customHeight="1" x14ac:dyDescent="0.2">
      <c r="A44" s="4" t="s">
        <v>30</v>
      </c>
      <c r="B44" s="4" t="s">
        <v>96</v>
      </c>
      <c r="D44" s="4" t="s">
        <v>142</v>
      </c>
      <c r="F44" s="8">
        <v>1.115</v>
      </c>
      <c r="G44" s="6">
        <f>0.008+0.109+0.123</f>
        <v>0.24</v>
      </c>
      <c r="H44" s="6"/>
      <c r="I44" s="6">
        <v>1.115</v>
      </c>
      <c r="J44" s="6">
        <f>2+44+29</f>
        <v>75</v>
      </c>
      <c r="K44" s="9">
        <v>448</v>
      </c>
      <c r="L44" s="6">
        <v>1</v>
      </c>
      <c r="M44" s="6">
        <v>5810</v>
      </c>
    </row>
    <row r="45" spans="1:13" s="3" customFormat="1" ht="73" customHeight="1" x14ac:dyDescent="0.2">
      <c r="A45" s="3" t="s">
        <v>31</v>
      </c>
      <c r="B45" s="3" t="s">
        <v>97</v>
      </c>
      <c r="D45" s="4" t="s">
        <v>192</v>
      </c>
      <c r="F45" s="8">
        <f>1.69/2</f>
        <v>0.84499999999999997</v>
      </c>
      <c r="G45" s="6">
        <v>0.126</v>
      </c>
      <c r="H45" s="6"/>
      <c r="I45" s="6">
        <v>0.82</v>
      </c>
      <c r="J45" s="6">
        <v>45</v>
      </c>
      <c r="K45" s="9">
        <v>273</v>
      </c>
      <c r="L45" s="6">
        <v>2</v>
      </c>
      <c r="M45" s="6">
        <v>5810</v>
      </c>
    </row>
    <row r="46" spans="1:13" s="4" customFormat="1" ht="73" customHeight="1" x14ac:dyDescent="0.2">
      <c r="A46" s="4" t="s">
        <v>31</v>
      </c>
      <c r="B46" s="4" t="s">
        <v>98</v>
      </c>
      <c r="D46" s="4" t="s">
        <v>143</v>
      </c>
      <c r="F46" s="8">
        <f>1.77/2</f>
        <v>0.88500000000000001</v>
      </c>
      <c r="G46" s="6">
        <v>0.161</v>
      </c>
      <c r="H46" s="6"/>
      <c r="I46" s="6">
        <v>0.85899999999999999</v>
      </c>
      <c r="J46" s="6">
        <v>45</v>
      </c>
      <c r="K46" s="9">
        <v>303</v>
      </c>
      <c r="L46" s="6">
        <v>2</v>
      </c>
      <c r="M46" s="6">
        <v>5810</v>
      </c>
    </row>
    <row r="47" spans="1:13" s="3" customFormat="1" ht="73" customHeight="1" x14ac:dyDescent="0.2">
      <c r="A47" s="3" t="s">
        <v>32</v>
      </c>
      <c r="B47" s="3" t="s">
        <v>99</v>
      </c>
      <c r="D47" s="3" t="s">
        <v>193</v>
      </c>
      <c r="F47" s="8">
        <f>2.85/2</f>
        <v>1.425</v>
      </c>
      <c r="G47" s="6">
        <v>0.13500000000000001</v>
      </c>
      <c r="H47" s="6"/>
      <c r="I47" s="6">
        <v>1.3959999999999999</v>
      </c>
      <c r="J47" s="6">
        <v>48</v>
      </c>
      <c r="K47" s="9">
        <v>359</v>
      </c>
      <c r="L47" s="6">
        <v>2</v>
      </c>
      <c r="M47" s="6">
        <v>5810</v>
      </c>
    </row>
    <row r="48" spans="1:13" s="4" customFormat="1" ht="73" customHeight="1" x14ac:dyDescent="0.2">
      <c r="A48" s="4" t="s">
        <v>32</v>
      </c>
      <c r="B48" s="4" t="s">
        <v>100</v>
      </c>
      <c r="D48" s="4" t="s">
        <v>164</v>
      </c>
      <c r="F48" s="8">
        <f>2.82/2</f>
        <v>1.41</v>
      </c>
      <c r="G48" s="6">
        <v>0.13200000000000001</v>
      </c>
      <c r="H48" s="6"/>
      <c r="I48" s="6">
        <v>1.381</v>
      </c>
      <c r="J48" s="6">
        <v>48</v>
      </c>
      <c r="K48" s="9">
        <v>356</v>
      </c>
      <c r="L48" s="6">
        <v>2</v>
      </c>
      <c r="M48" s="6">
        <v>5810</v>
      </c>
    </row>
    <row r="49" spans="1:13" s="4" customFormat="1" ht="73" customHeight="1" x14ac:dyDescent="0.2">
      <c r="A49" s="4" t="s">
        <v>32</v>
      </c>
      <c r="B49" s="4" t="s">
        <v>101</v>
      </c>
      <c r="D49" s="4" t="s">
        <v>144</v>
      </c>
      <c r="F49" s="8">
        <f>3.11/2</f>
        <v>1.5549999999999999</v>
      </c>
      <c r="G49" s="6">
        <v>0.129</v>
      </c>
      <c r="H49" s="6"/>
      <c r="I49" s="6">
        <v>1.53</v>
      </c>
      <c r="J49" s="6">
        <v>48</v>
      </c>
      <c r="K49" s="9">
        <v>369</v>
      </c>
      <c r="L49" s="6">
        <v>2</v>
      </c>
      <c r="M49" s="6">
        <v>5810</v>
      </c>
    </row>
    <row r="50" spans="1:13" s="3" customFormat="1" ht="73" customHeight="1" x14ac:dyDescent="0.2">
      <c r="A50" s="11" t="s">
        <v>33</v>
      </c>
      <c r="B50" s="3" t="s">
        <v>102</v>
      </c>
      <c r="D50" s="3" t="s">
        <v>194</v>
      </c>
      <c r="E50" s="3" t="s">
        <v>41</v>
      </c>
      <c r="F50" s="8">
        <f>2.36/2</f>
        <v>1.18</v>
      </c>
      <c r="G50" s="6">
        <v>6.2E-2</v>
      </c>
      <c r="H50" s="6"/>
      <c r="I50" s="6">
        <v>1.1679999999999999</v>
      </c>
      <c r="J50" s="6">
        <v>24</v>
      </c>
      <c r="K50" s="9">
        <v>234</v>
      </c>
      <c r="L50" s="6">
        <v>2</v>
      </c>
      <c r="M50" s="6">
        <v>586</v>
      </c>
    </row>
    <row r="51" spans="1:13" s="4" customFormat="1" ht="73" customHeight="1" x14ac:dyDescent="0.2">
      <c r="A51" s="11" t="s">
        <v>33</v>
      </c>
      <c r="B51" s="4" t="s">
        <v>103</v>
      </c>
      <c r="D51" s="4" t="s">
        <v>195</v>
      </c>
      <c r="E51" s="4" t="s">
        <v>42</v>
      </c>
      <c r="F51" s="8">
        <v>2.42</v>
      </c>
      <c r="G51" s="6">
        <v>6.7000000000000004E-2</v>
      </c>
      <c r="H51" s="6"/>
      <c r="I51" s="6">
        <v>1.1970000000000001</v>
      </c>
      <c r="J51" s="6">
        <v>24</v>
      </c>
      <c r="K51" s="9">
        <v>240</v>
      </c>
      <c r="L51" s="6">
        <v>2</v>
      </c>
      <c r="M51" s="6">
        <v>586</v>
      </c>
    </row>
    <row r="52" spans="1:13" s="4" customFormat="1" ht="73" customHeight="1" x14ac:dyDescent="0.2">
      <c r="A52" s="11" t="s">
        <v>33</v>
      </c>
      <c r="B52" s="4" t="s">
        <v>106</v>
      </c>
      <c r="D52" s="4" t="s">
        <v>165</v>
      </c>
      <c r="E52" s="4" t="s">
        <v>43</v>
      </c>
      <c r="F52" s="8">
        <f>2.31/2</f>
        <v>1.155</v>
      </c>
      <c r="G52" s="6">
        <v>6.5000000000000002E-2</v>
      </c>
      <c r="H52" s="6"/>
      <c r="I52" s="6">
        <v>1.143</v>
      </c>
      <c r="J52" s="6">
        <v>24</v>
      </c>
      <c r="K52" s="9">
        <v>234</v>
      </c>
      <c r="L52" s="6">
        <v>2</v>
      </c>
      <c r="M52" s="6">
        <v>586</v>
      </c>
    </row>
    <row r="53" spans="1:13" s="4" customFormat="1" ht="73" customHeight="1" x14ac:dyDescent="0.2">
      <c r="A53" s="11" t="s">
        <v>33</v>
      </c>
      <c r="B53" s="4" t="s">
        <v>107</v>
      </c>
      <c r="D53" s="4" t="s">
        <v>166</v>
      </c>
      <c r="E53" s="4" t="s">
        <v>42</v>
      </c>
      <c r="F53" s="8">
        <f>2.43/2</f>
        <v>1.2150000000000001</v>
      </c>
      <c r="G53" s="6">
        <v>6.7000000000000004E-2</v>
      </c>
      <c r="H53" s="6"/>
      <c r="I53" s="6">
        <v>1.202</v>
      </c>
      <c r="J53" s="6">
        <v>24</v>
      </c>
      <c r="K53" s="9">
        <v>240</v>
      </c>
      <c r="L53" s="6">
        <v>2</v>
      </c>
      <c r="M53" s="6">
        <v>586</v>
      </c>
    </row>
    <row r="54" spans="1:13" s="4" customFormat="1" ht="73" customHeight="1" x14ac:dyDescent="0.2">
      <c r="A54" s="11" t="s">
        <v>33</v>
      </c>
      <c r="B54" s="4" t="s">
        <v>104</v>
      </c>
      <c r="D54" s="4" t="s">
        <v>145</v>
      </c>
      <c r="E54" s="4" t="s">
        <v>43</v>
      </c>
      <c r="F54" s="8">
        <f>2.49/2</f>
        <v>1.2450000000000001</v>
      </c>
      <c r="G54" s="6">
        <v>6.7000000000000004E-2</v>
      </c>
      <c r="H54" s="6"/>
      <c r="I54" s="6">
        <v>1.2330000000000001</v>
      </c>
      <c r="J54" s="6">
        <v>24</v>
      </c>
      <c r="K54" s="9">
        <v>244</v>
      </c>
      <c r="L54" s="6">
        <v>2</v>
      </c>
      <c r="M54" s="6">
        <v>586</v>
      </c>
    </row>
    <row r="55" spans="1:13" s="4" customFormat="1" ht="73" customHeight="1" x14ac:dyDescent="0.2">
      <c r="A55" s="11" t="s">
        <v>33</v>
      </c>
      <c r="B55" s="4" t="s">
        <v>105</v>
      </c>
      <c r="D55" s="4" t="s">
        <v>146</v>
      </c>
      <c r="E55" s="4" t="s">
        <v>42</v>
      </c>
      <c r="F55" s="8">
        <f>2.49/2</f>
        <v>1.2450000000000001</v>
      </c>
      <c r="G55" s="6">
        <v>6.6000000000000003E-2</v>
      </c>
      <c r="H55" s="6"/>
      <c r="I55" s="6">
        <v>1.23</v>
      </c>
      <c r="J55" s="6">
        <v>24</v>
      </c>
      <c r="K55" s="9">
        <v>244</v>
      </c>
      <c r="L55" s="6">
        <v>2</v>
      </c>
      <c r="M55" s="6">
        <v>586</v>
      </c>
    </row>
    <row r="56" spans="1:13" s="3" customFormat="1" ht="73" customHeight="1" x14ac:dyDescent="0.2">
      <c r="A56" s="11" t="s">
        <v>44</v>
      </c>
      <c r="B56" s="4" t="s">
        <v>108</v>
      </c>
      <c r="D56" s="4" t="s">
        <v>196</v>
      </c>
      <c r="E56" s="4" t="s">
        <v>41</v>
      </c>
      <c r="F56" s="8">
        <v>3.67</v>
      </c>
      <c r="G56" s="6">
        <v>0.44500000000000001</v>
      </c>
      <c r="H56" s="6"/>
      <c r="I56" s="6">
        <v>3.577</v>
      </c>
      <c r="J56" s="6">
        <v>191</v>
      </c>
      <c r="K56" s="9">
        <v>1006</v>
      </c>
      <c r="L56" s="6">
        <v>1</v>
      </c>
      <c r="M56" s="6">
        <v>586</v>
      </c>
    </row>
    <row r="57" spans="1:13" s="4" customFormat="1" ht="73" customHeight="1" x14ac:dyDescent="0.2">
      <c r="A57" s="11" t="s">
        <v>44</v>
      </c>
      <c r="B57" s="4" t="s">
        <v>109</v>
      </c>
      <c r="D57" s="4" t="s">
        <v>197</v>
      </c>
      <c r="E57" s="4" t="s">
        <v>42</v>
      </c>
      <c r="F57" s="8">
        <f>3.45</f>
        <v>3.45</v>
      </c>
      <c r="G57" s="6">
        <v>0.439</v>
      </c>
      <c r="H57" s="6"/>
      <c r="I57" s="6">
        <v>3.3580000000000001</v>
      </c>
      <c r="J57" s="6">
        <v>191</v>
      </c>
      <c r="K57" s="9">
        <v>976</v>
      </c>
      <c r="L57" s="6">
        <v>1</v>
      </c>
      <c r="M57" s="6">
        <v>586</v>
      </c>
    </row>
    <row r="58" spans="1:13" s="4" customFormat="1" ht="73" customHeight="1" x14ac:dyDescent="0.2">
      <c r="A58" s="11" t="s">
        <v>44</v>
      </c>
      <c r="B58" s="4" t="s">
        <v>110</v>
      </c>
      <c r="D58" s="4" t="s">
        <v>167</v>
      </c>
      <c r="E58" s="4" t="s">
        <v>43</v>
      </c>
      <c r="F58" s="8">
        <v>3.54</v>
      </c>
      <c r="G58" s="6">
        <v>0.436</v>
      </c>
      <c r="H58" s="6"/>
      <c r="I58" s="6">
        <v>3.456</v>
      </c>
      <c r="J58" s="6">
        <v>191</v>
      </c>
      <c r="K58" s="9">
        <v>983</v>
      </c>
      <c r="L58" s="6">
        <v>1</v>
      </c>
      <c r="M58" s="6">
        <v>586</v>
      </c>
    </row>
    <row r="59" spans="1:13" s="4" customFormat="1" ht="73" customHeight="1" x14ac:dyDescent="0.2">
      <c r="A59" s="11" t="s">
        <v>44</v>
      </c>
      <c r="B59" s="4" t="s">
        <v>111</v>
      </c>
      <c r="D59" s="4" t="s">
        <v>168</v>
      </c>
      <c r="E59" s="4" t="s">
        <v>42</v>
      </c>
      <c r="F59" s="8">
        <v>3.59</v>
      </c>
      <c r="G59" s="6">
        <v>0.43</v>
      </c>
      <c r="H59" s="6"/>
      <c r="I59" s="6">
        <v>3.5009999999999999</v>
      </c>
      <c r="J59" s="6">
        <v>191</v>
      </c>
      <c r="K59" s="9">
        <v>983</v>
      </c>
      <c r="L59" s="6">
        <v>1</v>
      </c>
      <c r="M59" s="6">
        <v>586</v>
      </c>
    </row>
    <row r="60" spans="1:13" s="4" customFormat="1" ht="73" customHeight="1" x14ac:dyDescent="0.2">
      <c r="A60" s="11" t="s">
        <v>44</v>
      </c>
      <c r="B60" s="4" t="s">
        <v>112</v>
      </c>
      <c r="D60" s="4" t="s">
        <v>147</v>
      </c>
      <c r="E60" s="4" t="s">
        <v>43</v>
      </c>
      <c r="F60" s="8">
        <v>3.53</v>
      </c>
      <c r="G60" s="6">
        <v>0.442</v>
      </c>
      <c r="H60" s="6"/>
      <c r="I60" s="6">
        <v>3.4430000000000001</v>
      </c>
      <c r="J60" s="6">
        <v>191</v>
      </c>
      <c r="K60" s="9">
        <v>990</v>
      </c>
      <c r="L60" s="6">
        <v>1</v>
      </c>
      <c r="M60" s="6">
        <v>586</v>
      </c>
    </row>
    <row r="61" spans="1:13" s="4" customFormat="1" ht="73" customHeight="1" x14ac:dyDescent="0.2">
      <c r="A61" s="11" t="s">
        <v>44</v>
      </c>
      <c r="B61" s="4" t="s">
        <v>113</v>
      </c>
      <c r="D61" s="4" t="s">
        <v>148</v>
      </c>
      <c r="E61" s="4" t="s">
        <v>42</v>
      </c>
      <c r="F61" s="8">
        <v>3.66</v>
      </c>
      <c r="G61" s="6">
        <v>0.437</v>
      </c>
      <c r="H61" s="6"/>
      <c r="I61" s="6">
        <v>3.5720000000000001</v>
      </c>
      <c r="J61" s="6">
        <v>191</v>
      </c>
      <c r="K61" s="9">
        <v>996</v>
      </c>
      <c r="L61" s="6">
        <v>1</v>
      </c>
      <c r="M61" s="6">
        <v>586</v>
      </c>
    </row>
    <row r="62" spans="1:13" s="3" customFormat="1" ht="73" customHeight="1" x14ac:dyDescent="0.2">
      <c r="A62" s="4" t="s">
        <v>34</v>
      </c>
      <c r="B62" s="3" t="s">
        <v>114</v>
      </c>
      <c r="D62" s="3" t="s">
        <v>198</v>
      </c>
      <c r="E62" s="4" t="s">
        <v>43</v>
      </c>
      <c r="F62" s="8">
        <v>1.75</v>
      </c>
      <c r="G62" s="6">
        <v>0.28799999999999998</v>
      </c>
      <c r="H62" s="6">
        <v>0.25</v>
      </c>
      <c r="I62" s="6">
        <v>1.64</v>
      </c>
      <c r="J62" s="6">
        <v>99</v>
      </c>
      <c r="K62" s="9">
        <v>735</v>
      </c>
      <c r="L62" s="6">
        <v>1</v>
      </c>
      <c r="M62" s="6">
        <v>586</v>
      </c>
    </row>
    <row r="63" spans="1:13" s="4" customFormat="1" ht="73" customHeight="1" x14ac:dyDescent="0.2">
      <c r="A63" s="4" t="s">
        <v>34</v>
      </c>
      <c r="B63" s="4" t="s">
        <v>115</v>
      </c>
      <c r="D63" s="4" t="s">
        <v>199</v>
      </c>
      <c r="E63" s="4" t="s">
        <v>42</v>
      </c>
      <c r="F63" s="8">
        <v>1.74</v>
      </c>
      <c r="G63" s="6">
        <v>0.28799999999999998</v>
      </c>
      <c r="H63" s="6">
        <v>0.25600000000000001</v>
      </c>
      <c r="I63" s="6">
        <v>1.631</v>
      </c>
      <c r="J63" s="6">
        <v>99</v>
      </c>
      <c r="K63" s="9">
        <v>739</v>
      </c>
      <c r="L63" s="6">
        <v>1</v>
      </c>
      <c r="M63" s="6">
        <v>586</v>
      </c>
    </row>
    <row r="64" spans="1:13" s="3" customFormat="1" ht="73" customHeight="1" x14ac:dyDescent="0.2">
      <c r="A64" s="3" t="s">
        <v>35</v>
      </c>
      <c r="B64" s="3" t="s">
        <v>116</v>
      </c>
      <c r="D64" s="4" t="s">
        <v>200</v>
      </c>
      <c r="E64" s="4" t="s">
        <v>41</v>
      </c>
      <c r="F64" s="8">
        <v>2.02</v>
      </c>
      <c r="G64" s="6">
        <f>0.071+0.215</f>
        <v>0.28599999999999998</v>
      </c>
      <c r="H64" s="6"/>
      <c r="I64" s="6">
        <v>1.962</v>
      </c>
      <c r="J64" s="6">
        <f t="shared" ref="J64:J69" si="0">76+5</f>
        <v>81</v>
      </c>
      <c r="K64" s="9">
        <v>627</v>
      </c>
      <c r="L64" s="6">
        <v>1</v>
      </c>
      <c r="M64" s="6">
        <v>586</v>
      </c>
    </row>
    <row r="65" spans="1:13" s="4" customFormat="1" ht="73" customHeight="1" x14ac:dyDescent="0.2">
      <c r="A65" s="4" t="s">
        <v>35</v>
      </c>
      <c r="B65" s="4" t="s">
        <v>117</v>
      </c>
      <c r="D65" s="4" t="s">
        <v>201</v>
      </c>
      <c r="E65" s="4" t="s">
        <v>42</v>
      </c>
      <c r="F65" s="8">
        <v>1.97</v>
      </c>
      <c r="G65" s="6">
        <f>0.076+0.222</f>
        <v>0.29799999999999999</v>
      </c>
      <c r="H65" s="6"/>
      <c r="I65" s="6">
        <v>1.911</v>
      </c>
      <c r="J65" s="6">
        <f t="shared" si="0"/>
        <v>81</v>
      </c>
      <c r="K65" s="9">
        <v>636</v>
      </c>
      <c r="L65" s="6">
        <v>1</v>
      </c>
      <c r="M65" s="6">
        <v>586</v>
      </c>
    </row>
    <row r="66" spans="1:13" s="4" customFormat="1" ht="73" customHeight="1" x14ac:dyDescent="0.2">
      <c r="A66" s="4" t="s">
        <v>35</v>
      </c>
      <c r="B66" s="4" t="s">
        <v>120</v>
      </c>
      <c r="D66" s="4" t="s">
        <v>169</v>
      </c>
      <c r="E66" s="4" t="s">
        <v>43</v>
      </c>
      <c r="F66" s="8">
        <v>2.0699999999999998</v>
      </c>
      <c r="G66" s="6">
        <f>0.076+0.222</f>
        <v>0.29799999999999999</v>
      </c>
      <c r="H66" s="6"/>
      <c r="I66" s="6">
        <v>2.0150000000000001</v>
      </c>
      <c r="J66" s="6">
        <f t="shared" si="0"/>
        <v>81</v>
      </c>
      <c r="K66" s="9">
        <v>646</v>
      </c>
      <c r="L66" s="6">
        <v>1</v>
      </c>
      <c r="M66" s="6">
        <v>586</v>
      </c>
    </row>
    <row r="67" spans="1:13" s="4" customFormat="1" ht="73" customHeight="1" x14ac:dyDescent="0.2">
      <c r="A67" s="4" t="s">
        <v>35</v>
      </c>
      <c r="B67" s="4" t="s">
        <v>118</v>
      </c>
      <c r="D67" s="4" t="s">
        <v>170</v>
      </c>
      <c r="E67" s="4" t="s">
        <v>42</v>
      </c>
      <c r="F67" s="8">
        <v>2.13</v>
      </c>
      <c r="G67" s="6">
        <f>0.083+0.223</f>
        <v>0.30599999999999999</v>
      </c>
      <c r="H67" s="6"/>
      <c r="I67" s="6">
        <v>2.0699999999999998</v>
      </c>
      <c r="J67" s="6">
        <f t="shared" si="0"/>
        <v>81</v>
      </c>
      <c r="K67" s="9">
        <v>666</v>
      </c>
      <c r="L67" s="6">
        <v>1</v>
      </c>
      <c r="M67" s="6">
        <v>586</v>
      </c>
    </row>
    <row r="68" spans="1:13" s="4" customFormat="1" ht="73" customHeight="1" x14ac:dyDescent="0.2">
      <c r="A68" s="4" t="s">
        <v>35</v>
      </c>
      <c r="B68" s="4" t="s">
        <v>121</v>
      </c>
      <c r="D68" s="4" t="s">
        <v>149</v>
      </c>
      <c r="E68" s="4" t="s">
        <v>43</v>
      </c>
      <c r="F68" s="8">
        <v>1.99</v>
      </c>
      <c r="G68" s="6">
        <f>0.072+0.218</f>
        <v>0.28999999999999998</v>
      </c>
      <c r="H68" s="6"/>
      <c r="I68" s="6">
        <v>1.927</v>
      </c>
      <c r="J68" s="6">
        <f t="shared" si="0"/>
        <v>81</v>
      </c>
      <c r="K68" s="9">
        <v>627</v>
      </c>
      <c r="L68" s="6">
        <v>1</v>
      </c>
      <c r="M68" s="6">
        <v>586</v>
      </c>
    </row>
    <row r="69" spans="1:13" s="4" customFormat="1" ht="73" customHeight="1" x14ac:dyDescent="0.2">
      <c r="A69" s="4" t="s">
        <v>35</v>
      </c>
      <c r="B69" s="4" t="s">
        <v>119</v>
      </c>
      <c r="D69" s="4" t="s">
        <v>150</v>
      </c>
      <c r="E69" s="4" t="s">
        <v>42</v>
      </c>
      <c r="F69" s="8">
        <v>2.08</v>
      </c>
      <c r="G69" s="6">
        <f>0.073+0.219</f>
        <v>0.29199999999999998</v>
      </c>
      <c r="H69" s="6"/>
      <c r="I69" s="6">
        <v>2.0219999999999998</v>
      </c>
      <c r="J69" s="6">
        <f t="shared" si="0"/>
        <v>81</v>
      </c>
      <c r="K69" s="9">
        <v>640</v>
      </c>
      <c r="L69" s="6">
        <v>1</v>
      </c>
      <c r="M69" s="6">
        <v>586</v>
      </c>
    </row>
    <row r="70" spans="1:13" s="3" customFormat="1" ht="73" customHeight="1" x14ac:dyDescent="0.2">
      <c r="A70" s="3" t="s">
        <v>36</v>
      </c>
      <c r="B70" s="4" t="s">
        <v>122</v>
      </c>
      <c r="D70" s="3" t="s">
        <v>202</v>
      </c>
      <c r="E70" s="4" t="s">
        <v>43</v>
      </c>
      <c r="F70" s="8">
        <v>2.09</v>
      </c>
      <c r="G70" s="6">
        <f>0.066+0.05</f>
        <v>0.11600000000000001</v>
      </c>
      <c r="H70" s="6"/>
      <c r="I70" s="6">
        <v>2.0659999999999998</v>
      </c>
      <c r="J70" s="6">
        <f>28+14</f>
        <v>42</v>
      </c>
      <c r="K70" s="9">
        <v>415</v>
      </c>
      <c r="L70" s="6">
        <v>1</v>
      </c>
      <c r="M70" s="6">
        <v>586</v>
      </c>
    </row>
    <row r="71" spans="1:13" s="4" customFormat="1" ht="73" customHeight="1" x14ac:dyDescent="0.2">
      <c r="A71" s="4" t="s">
        <v>36</v>
      </c>
      <c r="B71" s="4" t="s">
        <v>123</v>
      </c>
      <c r="D71" s="4" t="s">
        <v>136</v>
      </c>
      <c r="E71" s="4" t="s">
        <v>42</v>
      </c>
      <c r="F71" s="8">
        <v>2.16</v>
      </c>
      <c r="G71" s="6">
        <f>0.064+0.056</f>
        <v>0.12</v>
      </c>
      <c r="H71" s="6"/>
      <c r="I71" s="6">
        <v>2.1339999999999999</v>
      </c>
      <c r="J71" s="6">
        <f>28+14</f>
        <v>42</v>
      </c>
      <c r="K71" s="9">
        <v>429</v>
      </c>
      <c r="L71" s="6">
        <v>1</v>
      </c>
      <c r="M71" s="6">
        <v>586</v>
      </c>
    </row>
    <row r="72" spans="1:13" s="3" customFormat="1" ht="73" customHeight="1" x14ac:dyDescent="0.2">
      <c r="A72" s="3" t="s">
        <v>37</v>
      </c>
      <c r="B72" s="4" t="s">
        <v>124</v>
      </c>
      <c r="D72" s="4" t="s">
        <v>135</v>
      </c>
      <c r="E72" s="4" t="s">
        <v>41</v>
      </c>
      <c r="F72" s="8">
        <v>5.24</v>
      </c>
      <c r="G72" s="6">
        <f>0.034+0.342+0.369</f>
        <v>0.745</v>
      </c>
      <c r="H72" s="6"/>
      <c r="I72" s="6">
        <v>5.09</v>
      </c>
      <c r="J72" s="6">
        <f t="shared" ref="J72:J77" si="1">5+138+104</f>
        <v>247</v>
      </c>
      <c r="K72" s="9">
        <v>1584</v>
      </c>
      <c r="L72" s="6">
        <v>1</v>
      </c>
      <c r="M72" s="6">
        <v>586</v>
      </c>
    </row>
    <row r="73" spans="1:13" s="3" customFormat="1" ht="73" customHeight="1" x14ac:dyDescent="0.2">
      <c r="A73" s="4" t="s">
        <v>37</v>
      </c>
      <c r="B73" s="4" t="s">
        <v>125</v>
      </c>
      <c r="C73" s="4"/>
      <c r="D73" s="4" t="s">
        <v>134</v>
      </c>
      <c r="E73" s="4" t="s">
        <v>42</v>
      </c>
      <c r="F73" s="4" t="s">
        <v>49</v>
      </c>
      <c r="G73" s="6">
        <f>0.034+0.355+0.378</f>
        <v>0.76700000000000002</v>
      </c>
      <c r="H73" s="6"/>
      <c r="I73" s="6">
        <v>5.3860000000000001</v>
      </c>
      <c r="J73" s="6">
        <f t="shared" si="1"/>
        <v>247</v>
      </c>
      <c r="K73" s="9">
        <v>1633</v>
      </c>
      <c r="L73" s="6">
        <v>1</v>
      </c>
      <c r="M73" s="6">
        <v>586</v>
      </c>
    </row>
    <row r="74" spans="1:13" s="3" customFormat="1" ht="73" customHeight="1" x14ac:dyDescent="0.2">
      <c r="A74" s="4" t="s">
        <v>37</v>
      </c>
      <c r="B74" s="4" t="s">
        <v>126</v>
      </c>
      <c r="C74" s="4"/>
      <c r="D74" s="4" t="s">
        <v>133</v>
      </c>
      <c r="E74" s="4" t="s">
        <v>43</v>
      </c>
      <c r="F74" s="4" t="s">
        <v>50</v>
      </c>
      <c r="G74" s="6">
        <f>0.033+0.353+0.367</f>
        <v>0.753</v>
      </c>
      <c r="H74" s="6"/>
      <c r="I74" s="6">
        <v>5.2770000000000001</v>
      </c>
      <c r="J74" s="6">
        <f t="shared" si="1"/>
        <v>247</v>
      </c>
      <c r="K74" s="9">
        <v>1610</v>
      </c>
      <c r="L74" s="6">
        <v>1</v>
      </c>
      <c r="M74" s="6">
        <v>586</v>
      </c>
    </row>
    <row r="75" spans="1:13" s="3" customFormat="1" ht="73" customHeight="1" x14ac:dyDescent="0.2">
      <c r="A75" s="4" t="s">
        <v>37</v>
      </c>
      <c r="B75" s="4" t="s">
        <v>127</v>
      </c>
      <c r="C75" s="4"/>
      <c r="D75" s="4" t="s">
        <v>132</v>
      </c>
      <c r="E75" s="4" t="s">
        <v>42</v>
      </c>
      <c r="F75" s="4" t="s">
        <v>51</v>
      </c>
      <c r="G75" s="6">
        <f>0.028+0.349+0.382</f>
        <v>0.75900000000000001</v>
      </c>
      <c r="H75" s="6"/>
      <c r="I75" s="6">
        <v>4.9589999999999996</v>
      </c>
      <c r="J75" s="6">
        <f t="shared" si="1"/>
        <v>247</v>
      </c>
      <c r="K75" s="9">
        <v>1577</v>
      </c>
      <c r="L75" s="6">
        <v>1</v>
      </c>
      <c r="M75" s="6">
        <v>586</v>
      </c>
    </row>
    <row r="76" spans="1:13" s="3" customFormat="1" ht="73" customHeight="1" x14ac:dyDescent="0.2">
      <c r="A76" s="4" t="s">
        <v>37</v>
      </c>
      <c r="B76" s="4" t="s">
        <v>128</v>
      </c>
      <c r="C76" s="4"/>
      <c r="D76" s="4" t="s">
        <v>131</v>
      </c>
      <c r="E76" s="4" t="s">
        <v>43</v>
      </c>
      <c r="F76" s="4" t="s">
        <v>52</v>
      </c>
      <c r="G76" s="6">
        <f>0.032+0.358+0.375</f>
        <v>0.76500000000000001</v>
      </c>
      <c r="H76" s="6"/>
      <c r="I76" s="6">
        <v>5.1550000000000002</v>
      </c>
      <c r="J76" s="6">
        <f t="shared" si="1"/>
        <v>247</v>
      </c>
      <c r="K76" s="9">
        <v>1607</v>
      </c>
      <c r="L76" s="6">
        <v>1</v>
      </c>
      <c r="M76" s="6">
        <v>586</v>
      </c>
    </row>
    <row r="77" spans="1:13" s="3" customFormat="1" ht="73" customHeight="1" x14ac:dyDescent="0.2">
      <c r="A77" s="4" t="s">
        <v>37</v>
      </c>
      <c r="B77" s="4" t="s">
        <v>129</v>
      </c>
      <c r="C77" s="4"/>
      <c r="D77" s="4" t="s">
        <v>130</v>
      </c>
      <c r="E77" s="4" t="s">
        <v>42</v>
      </c>
      <c r="F77" s="4" t="s">
        <v>53</v>
      </c>
      <c r="G77" s="6">
        <f>0.031+0.36+0.384</f>
        <v>0.77500000000000002</v>
      </c>
      <c r="H77" s="6"/>
      <c r="I77" s="6">
        <v>5.2690000000000001</v>
      </c>
      <c r="J77" s="6">
        <f t="shared" si="1"/>
        <v>247</v>
      </c>
      <c r="K77" s="9">
        <v>1626</v>
      </c>
      <c r="L77" s="6">
        <v>1</v>
      </c>
      <c r="M77" s="6">
        <v>586</v>
      </c>
    </row>
    <row r="78" spans="1:13" s="3" customFormat="1" ht="73" customHeight="1" x14ac:dyDescent="0.2">
      <c r="G78" s="6"/>
      <c r="H78" s="6"/>
      <c r="I78" s="6"/>
      <c r="J78" s="6"/>
      <c r="K78" s="6"/>
      <c r="L78" s="6"/>
      <c r="M78" s="6"/>
    </row>
    <row r="79" spans="1:13" s="3" customFormat="1" ht="73" customHeight="1" x14ac:dyDescent="0.2">
      <c r="G79" s="6"/>
      <c r="H79" s="6"/>
      <c r="I79" s="6"/>
      <c r="J79" s="6"/>
      <c r="K79" s="6"/>
      <c r="L79" s="6"/>
      <c r="M79" s="6"/>
    </row>
    <row r="80" spans="1:13" s="3" customFormat="1" ht="73" customHeight="1" x14ac:dyDescent="0.2">
      <c r="G80" s="6"/>
      <c r="H80" s="6"/>
      <c r="I80" s="6"/>
      <c r="J80" s="6"/>
      <c r="K80" s="6"/>
      <c r="L80" s="6"/>
      <c r="M80" s="6"/>
    </row>
    <row r="81" spans="7:13" s="3" customFormat="1" ht="73" customHeight="1" x14ac:dyDescent="0.2">
      <c r="G81" s="6"/>
      <c r="H81" s="6"/>
      <c r="I81" s="6"/>
      <c r="J81" s="6"/>
      <c r="K81" s="6"/>
      <c r="L81" s="6"/>
      <c r="M81" s="6"/>
    </row>
    <row r="82" spans="7:13" s="3" customFormat="1" ht="73" customHeight="1" x14ac:dyDescent="0.2">
      <c r="G82" s="6"/>
      <c r="H82" s="6"/>
      <c r="I82" s="6"/>
      <c r="J82" s="6"/>
      <c r="K82" s="6"/>
      <c r="L82" s="6"/>
      <c r="M82" s="6"/>
    </row>
    <row r="83" spans="7:13" s="3" customFormat="1" ht="73" customHeight="1" x14ac:dyDescent="0.2">
      <c r="G83" s="6"/>
      <c r="H83" s="6"/>
      <c r="I83" s="6"/>
      <c r="J83" s="6"/>
      <c r="K83" s="6"/>
      <c r="L83" s="6"/>
      <c r="M83" s="6"/>
    </row>
    <row r="84" spans="7:13" s="3" customFormat="1" ht="73" customHeight="1" x14ac:dyDescent="0.2">
      <c r="G84" s="6"/>
      <c r="H84" s="6"/>
      <c r="I84" s="6"/>
      <c r="J84" s="6"/>
      <c r="K84" s="6"/>
      <c r="L84" s="6"/>
      <c r="M84" s="6"/>
    </row>
    <row r="85" spans="7:13" s="3" customFormat="1" ht="73" customHeight="1" x14ac:dyDescent="0.2">
      <c r="G85" s="6"/>
      <c r="H85" s="6"/>
      <c r="I85" s="6"/>
      <c r="J85" s="6"/>
      <c r="K85" s="6"/>
      <c r="L85" s="6"/>
      <c r="M85" s="6"/>
    </row>
    <row r="86" spans="7:13" s="3" customFormat="1" ht="73" customHeight="1" x14ac:dyDescent="0.2">
      <c r="G86" s="6"/>
      <c r="H86" s="6"/>
      <c r="I86" s="6"/>
      <c r="J86" s="6"/>
      <c r="K86" s="6"/>
      <c r="L86" s="6"/>
      <c r="M86" s="6"/>
    </row>
    <row r="87" spans="7:13" s="3" customFormat="1" ht="73" customHeight="1" x14ac:dyDescent="0.2">
      <c r="G87" s="6"/>
      <c r="H87" s="6"/>
      <c r="I87" s="6"/>
      <c r="J87" s="6"/>
      <c r="K87" s="6"/>
      <c r="L87" s="6"/>
      <c r="M87" s="6"/>
    </row>
    <row r="88" spans="7:13" s="3" customFormat="1" ht="73" customHeight="1" x14ac:dyDescent="0.2">
      <c r="G88" s="6"/>
      <c r="H88" s="6"/>
      <c r="I88" s="6"/>
      <c r="J88" s="6"/>
      <c r="K88" s="6"/>
      <c r="L88" s="6"/>
      <c r="M88" s="6"/>
    </row>
    <row r="89" spans="7:13" s="3" customFormat="1" ht="73" customHeight="1" x14ac:dyDescent="0.2">
      <c r="G89" s="6"/>
      <c r="H89" s="6"/>
      <c r="I89" s="6"/>
      <c r="J89" s="6"/>
      <c r="K89" s="6"/>
      <c r="L89" s="6"/>
      <c r="M89" s="6"/>
    </row>
    <row r="90" spans="7:13" s="3" customFormat="1" ht="73" customHeight="1" x14ac:dyDescent="0.2">
      <c r="G90" s="6"/>
      <c r="H90" s="6"/>
      <c r="I90" s="6"/>
      <c r="J90" s="6"/>
      <c r="K90" s="6"/>
      <c r="L90" s="6"/>
      <c r="M90" s="6"/>
    </row>
    <row r="91" spans="7:13" s="3" customFormat="1" ht="73" customHeight="1" x14ac:dyDescent="0.2">
      <c r="G91" s="6"/>
      <c r="H91" s="6"/>
      <c r="I91" s="6"/>
      <c r="J91" s="6"/>
      <c r="K91" s="6"/>
      <c r="L91" s="6"/>
      <c r="M91" s="6"/>
    </row>
    <row r="92" spans="7:13" s="3" customFormat="1" ht="73" customHeight="1" x14ac:dyDescent="0.2">
      <c r="G92" s="6"/>
      <c r="H92" s="6"/>
      <c r="I92" s="6"/>
      <c r="J92" s="6"/>
      <c r="K92" s="6"/>
      <c r="L92" s="6"/>
      <c r="M92" s="6"/>
    </row>
    <row r="93" spans="7:13" s="3" customFormat="1" ht="73" customHeight="1" x14ac:dyDescent="0.2">
      <c r="G93" s="6"/>
      <c r="H93" s="6"/>
      <c r="I93" s="6"/>
      <c r="J93" s="6"/>
      <c r="K93" s="6"/>
      <c r="L93" s="6"/>
      <c r="M93" s="6"/>
    </row>
    <row r="94" spans="7:13" s="3" customFormat="1" ht="73" customHeight="1" x14ac:dyDescent="0.2">
      <c r="G94" s="6"/>
      <c r="H94" s="6"/>
      <c r="I94" s="6"/>
      <c r="J94" s="6"/>
      <c r="K94" s="6"/>
      <c r="L94" s="6"/>
      <c r="M94" s="6"/>
    </row>
    <row r="95" spans="7:13" s="3" customFormat="1" ht="73" customHeight="1" x14ac:dyDescent="0.2">
      <c r="G95" s="6"/>
      <c r="H95" s="6"/>
      <c r="I95" s="6"/>
      <c r="J95" s="6"/>
      <c r="K95" s="6"/>
      <c r="L95" s="6"/>
      <c r="M95" s="6"/>
    </row>
    <row r="96" spans="7:13" s="3" customFormat="1" ht="73" customHeight="1" x14ac:dyDescent="0.2">
      <c r="G96" s="6"/>
      <c r="H96" s="6"/>
      <c r="I96" s="6"/>
      <c r="J96" s="6"/>
      <c r="K96" s="6"/>
      <c r="L96" s="6"/>
      <c r="M96" s="6"/>
    </row>
    <row r="97" spans="7:13" s="3" customFormat="1" ht="73" customHeight="1" x14ac:dyDescent="0.2">
      <c r="G97" s="6"/>
      <c r="H97" s="6"/>
      <c r="I97" s="6"/>
      <c r="J97" s="6"/>
      <c r="K97" s="6"/>
      <c r="L97" s="6"/>
      <c r="M97" s="6"/>
    </row>
    <row r="98" spans="7:13" s="3" customFormat="1" ht="73" customHeight="1" x14ac:dyDescent="0.2">
      <c r="G98" s="6"/>
      <c r="H98" s="6"/>
      <c r="I98" s="6"/>
      <c r="J98" s="6"/>
      <c r="K98" s="6"/>
      <c r="L98" s="6"/>
      <c r="M98" s="6"/>
    </row>
    <row r="99" spans="7:13" s="3" customFormat="1" ht="73" customHeight="1" x14ac:dyDescent="0.2">
      <c r="G99" s="6"/>
      <c r="H99" s="6"/>
      <c r="I99" s="6"/>
      <c r="J99" s="6"/>
      <c r="K99" s="6"/>
      <c r="L99" s="6"/>
      <c r="M99" s="6"/>
    </row>
    <row r="100" spans="7:13" s="3" customFormat="1" ht="73" customHeight="1" x14ac:dyDescent="0.2">
      <c r="G100" s="6"/>
      <c r="H100" s="6"/>
      <c r="I100" s="6"/>
      <c r="J100" s="6"/>
      <c r="K100" s="6"/>
      <c r="L100" s="6"/>
      <c r="M100" s="6"/>
    </row>
    <row r="101" spans="7:13" s="3" customFormat="1" ht="73" customHeight="1" x14ac:dyDescent="0.2">
      <c r="G101" s="6"/>
      <c r="H101" s="6"/>
      <c r="I101" s="6"/>
      <c r="J101" s="6"/>
      <c r="K101" s="6"/>
      <c r="L101" s="6"/>
      <c r="M101" s="6"/>
    </row>
    <row r="102" spans="7:13" s="3" customFormat="1" ht="73" customHeight="1" x14ac:dyDescent="0.2">
      <c r="G102" s="6"/>
      <c r="H102" s="6"/>
      <c r="I102" s="6"/>
      <c r="J102" s="6"/>
      <c r="K102" s="6"/>
      <c r="L102" s="6"/>
      <c r="M102" s="6"/>
    </row>
    <row r="103" spans="7:13" s="3" customFormat="1" ht="73" customHeight="1" x14ac:dyDescent="0.2">
      <c r="G103" s="6"/>
      <c r="H103" s="6"/>
      <c r="I103" s="6"/>
      <c r="J103" s="6"/>
      <c r="K103" s="6"/>
      <c r="L103" s="6"/>
      <c r="M103" s="6"/>
    </row>
    <row r="104" spans="7:13" s="3" customFormat="1" ht="73" customHeight="1" x14ac:dyDescent="0.2">
      <c r="G104" s="6"/>
      <c r="H104" s="6"/>
      <c r="I104" s="6"/>
      <c r="J104" s="6"/>
      <c r="K104" s="6"/>
      <c r="L104" s="6"/>
      <c r="M104" s="6"/>
    </row>
    <row r="105" spans="7:13" s="3" customFormat="1" ht="73" customHeight="1" x14ac:dyDescent="0.2">
      <c r="G105" s="6"/>
      <c r="H105" s="6"/>
      <c r="I105" s="6"/>
      <c r="J105" s="6"/>
      <c r="K105" s="6"/>
      <c r="L105" s="6"/>
      <c r="M105" s="6"/>
    </row>
    <row r="106" spans="7:13" s="3" customFormat="1" ht="73" customHeight="1" x14ac:dyDescent="0.2">
      <c r="G106" s="6"/>
      <c r="H106" s="6"/>
      <c r="I106" s="6"/>
      <c r="J106" s="6"/>
      <c r="K106" s="6"/>
      <c r="L106" s="6"/>
      <c r="M106" s="6"/>
    </row>
    <row r="107" spans="7:13" s="3" customFormat="1" ht="73" customHeight="1" x14ac:dyDescent="0.2">
      <c r="G107" s="6"/>
      <c r="H107" s="6"/>
      <c r="I107" s="6"/>
      <c r="J107" s="6"/>
      <c r="K107" s="6"/>
      <c r="L107" s="6"/>
      <c r="M107" s="6"/>
    </row>
    <row r="108" spans="7:13" s="3" customFormat="1" ht="73" customHeight="1" x14ac:dyDescent="0.2">
      <c r="G108" s="6"/>
      <c r="H108" s="6"/>
      <c r="I108" s="6"/>
      <c r="J108" s="6"/>
      <c r="K108" s="6"/>
      <c r="L108" s="6"/>
      <c r="M108" s="6"/>
    </row>
    <row r="109" spans="7:13" s="3" customFormat="1" ht="73" customHeight="1" x14ac:dyDescent="0.2">
      <c r="G109" s="6"/>
      <c r="H109" s="6"/>
      <c r="I109" s="6"/>
      <c r="J109" s="6"/>
      <c r="K109" s="6"/>
      <c r="L109" s="6"/>
      <c r="M109" s="6"/>
    </row>
    <row r="110" spans="7:13" s="3" customFormat="1" ht="73" customHeight="1" x14ac:dyDescent="0.2">
      <c r="G110" s="6"/>
      <c r="H110" s="6"/>
      <c r="I110" s="6"/>
      <c r="J110" s="6"/>
      <c r="K110" s="6"/>
      <c r="L110" s="6"/>
      <c r="M110" s="6"/>
    </row>
    <row r="111" spans="7:13" s="3" customFormat="1" ht="73" customHeight="1" x14ac:dyDescent="0.2">
      <c r="G111" s="6"/>
      <c r="H111" s="6"/>
      <c r="I111" s="6"/>
      <c r="J111" s="6"/>
      <c r="K111" s="6"/>
      <c r="L111" s="6"/>
      <c r="M111" s="6"/>
    </row>
    <row r="112" spans="7:13" s="3" customFormat="1" ht="73" customHeight="1" x14ac:dyDescent="0.2">
      <c r="G112" s="6"/>
      <c r="H112" s="6"/>
      <c r="I112" s="6"/>
      <c r="J112" s="6"/>
      <c r="K112" s="6"/>
      <c r="L112" s="6"/>
      <c r="M112" s="6"/>
    </row>
    <row r="113" spans="7:13" s="3" customFormat="1" ht="73" customHeight="1" x14ac:dyDescent="0.2">
      <c r="G113" s="6"/>
      <c r="H113" s="6"/>
      <c r="I113" s="6"/>
      <c r="J113" s="6"/>
      <c r="K113" s="6"/>
      <c r="L113" s="6"/>
      <c r="M113" s="6"/>
    </row>
    <row r="114" spans="7:13" s="3" customFormat="1" ht="73" customHeight="1" x14ac:dyDescent="0.2">
      <c r="G114" s="6"/>
      <c r="H114" s="6"/>
      <c r="I114" s="6"/>
      <c r="J114" s="6"/>
      <c r="K114" s="6"/>
      <c r="L114" s="6"/>
      <c r="M114" s="6"/>
    </row>
    <row r="115" spans="7:13" s="3" customFormat="1" ht="73" customHeight="1" x14ac:dyDescent="0.2">
      <c r="G115" s="6"/>
      <c r="H115" s="6"/>
      <c r="I115" s="6"/>
      <c r="J115" s="6"/>
      <c r="K115" s="6"/>
      <c r="L115" s="6"/>
      <c r="M115" s="6"/>
    </row>
    <row r="116" spans="7:13" s="3" customFormat="1" ht="73" customHeight="1" x14ac:dyDescent="0.2">
      <c r="G116" s="6"/>
      <c r="H116" s="6"/>
      <c r="I116" s="6"/>
      <c r="J116" s="6"/>
      <c r="K116" s="6"/>
      <c r="L116" s="6"/>
      <c r="M116" s="6"/>
    </row>
    <row r="117" spans="7:13" s="3" customFormat="1" ht="73" customHeight="1" x14ac:dyDescent="0.2">
      <c r="G117" s="6"/>
      <c r="H117" s="6"/>
      <c r="I117" s="6"/>
      <c r="J117" s="6"/>
      <c r="K117" s="6"/>
      <c r="L117" s="6"/>
      <c r="M117" s="6"/>
    </row>
    <row r="118" spans="7:13" s="3" customFormat="1" ht="73" customHeight="1" x14ac:dyDescent="0.2">
      <c r="G118" s="6"/>
      <c r="H118" s="6"/>
      <c r="I118" s="6"/>
      <c r="J118" s="6"/>
      <c r="K118" s="6"/>
      <c r="L118" s="6"/>
      <c r="M118" s="6"/>
    </row>
    <row r="119" spans="7:13" s="3" customFormat="1" ht="73" customHeight="1" x14ac:dyDescent="0.2">
      <c r="G119" s="6"/>
      <c r="H119" s="6"/>
      <c r="I119" s="6"/>
      <c r="J119" s="6"/>
      <c r="K119" s="6"/>
      <c r="L119" s="6"/>
      <c r="M119" s="6"/>
    </row>
    <row r="120" spans="7:13" s="3" customFormat="1" ht="73" customHeight="1" x14ac:dyDescent="0.2">
      <c r="G120" s="6"/>
      <c r="H120" s="6"/>
      <c r="I120" s="6"/>
      <c r="J120" s="6"/>
      <c r="K120" s="6"/>
      <c r="L120" s="6"/>
      <c r="M120" s="6"/>
    </row>
    <row r="121" spans="7:13" s="3" customFormat="1" ht="73" customHeight="1" x14ac:dyDescent="0.2">
      <c r="G121" s="6"/>
      <c r="H121" s="6"/>
      <c r="I121" s="6"/>
      <c r="J121" s="6"/>
      <c r="K121" s="6"/>
      <c r="L121" s="6"/>
      <c r="M121" s="6"/>
    </row>
    <row r="122" spans="7:13" s="3" customFormat="1" ht="73" customHeight="1" x14ac:dyDescent="0.2">
      <c r="G122" s="6"/>
      <c r="H122" s="6"/>
      <c r="I122" s="6"/>
      <c r="J122" s="6"/>
      <c r="K122" s="6"/>
      <c r="L122" s="6"/>
      <c r="M122" s="6"/>
    </row>
    <row r="123" spans="7:13" s="3" customFormat="1" ht="73" customHeight="1" x14ac:dyDescent="0.2">
      <c r="G123" s="6"/>
      <c r="H123" s="6"/>
      <c r="I123" s="6"/>
      <c r="J123" s="6"/>
      <c r="K123" s="6"/>
      <c r="L123" s="6"/>
      <c r="M123" s="6"/>
    </row>
    <row r="124" spans="7:13" s="3" customFormat="1" ht="73" customHeight="1" x14ac:dyDescent="0.2">
      <c r="G124" s="6"/>
      <c r="H124" s="6"/>
      <c r="I124" s="6"/>
      <c r="J124" s="6"/>
      <c r="K124" s="6"/>
      <c r="L124" s="6"/>
      <c r="M124" s="6"/>
    </row>
    <row r="125" spans="7:13" s="3" customFormat="1" ht="73" customHeight="1" x14ac:dyDescent="0.2">
      <c r="G125" s="6"/>
      <c r="H125" s="6"/>
      <c r="I125" s="6"/>
      <c r="J125" s="6"/>
      <c r="K125" s="6"/>
      <c r="L125" s="6"/>
      <c r="M125" s="6"/>
    </row>
    <row r="126" spans="7:13" s="3" customFormat="1" ht="73" customHeight="1" x14ac:dyDescent="0.2">
      <c r="G126" s="6"/>
      <c r="H126" s="6"/>
      <c r="I126" s="6"/>
      <c r="J126" s="6"/>
      <c r="K126" s="6"/>
      <c r="L126" s="6"/>
      <c r="M126" s="6"/>
    </row>
    <row r="127" spans="7:13" s="3" customFormat="1" ht="73" customHeight="1" x14ac:dyDescent="0.2">
      <c r="G127" s="6"/>
      <c r="H127" s="6"/>
      <c r="I127" s="6"/>
      <c r="J127" s="6"/>
      <c r="K127" s="6"/>
      <c r="L127" s="6"/>
      <c r="M127" s="6"/>
    </row>
    <row r="128" spans="7:13" s="3" customFormat="1" ht="73" customHeight="1" x14ac:dyDescent="0.2">
      <c r="G128" s="6"/>
      <c r="H128" s="6"/>
      <c r="I128" s="6"/>
      <c r="J128" s="6"/>
      <c r="K128" s="6"/>
      <c r="L128" s="6"/>
      <c r="M128" s="6"/>
    </row>
    <row r="129" spans="7:13" s="3" customFormat="1" ht="73" customHeight="1" x14ac:dyDescent="0.2">
      <c r="G129" s="6"/>
      <c r="H129" s="6"/>
      <c r="I129" s="6"/>
      <c r="J129" s="6"/>
      <c r="K129" s="6"/>
      <c r="L129" s="6"/>
      <c r="M129" s="6"/>
    </row>
    <row r="130" spans="7:13" s="3" customFormat="1" ht="73" customHeight="1" x14ac:dyDescent="0.2">
      <c r="G130" s="6"/>
      <c r="H130" s="6"/>
      <c r="I130" s="6"/>
      <c r="J130" s="6"/>
      <c r="K130" s="6"/>
      <c r="L130" s="6"/>
      <c r="M130" s="6"/>
    </row>
    <row r="131" spans="7:13" s="3" customFormat="1" ht="73" customHeight="1" x14ac:dyDescent="0.2">
      <c r="G131" s="6"/>
      <c r="H131" s="6"/>
      <c r="I131" s="6"/>
      <c r="J131" s="6"/>
      <c r="K131" s="6"/>
      <c r="L131" s="6"/>
      <c r="M131" s="6"/>
    </row>
    <row r="132" spans="7:13" s="3" customFormat="1" ht="73" customHeight="1" x14ac:dyDescent="0.2">
      <c r="G132" s="6"/>
      <c r="H132" s="6"/>
      <c r="I132" s="6"/>
      <c r="J132" s="6"/>
      <c r="K132" s="6"/>
      <c r="L132" s="6"/>
      <c r="M132" s="6"/>
    </row>
    <row r="133" spans="7:13" s="3" customFormat="1" ht="73" customHeight="1" x14ac:dyDescent="0.2">
      <c r="G133" s="6"/>
      <c r="H133" s="6"/>
      <c r="I133" s="6"/>
      <c r="J133" s="6"/>
      <c r="K133" s="6"/>
      <c r="L133" s="6"/>
      <c r="M133" s="6"/>
    </row>
    <row r="134" spans="7:13" s="3" customFormat="1" ht="73" customHeight="1" x14ac:dyDescent="0.2">
      <c r="G134" s="6"/>
      <c r="H134" s="6"/>
      <c r="I134" s="6"/>
      <c r="J134" s="6"/>
      <c r="K134" s="6"/>
      <c r="L134" s="6"/>
      <c r="M134" s="6"/>
    </row>
    <row r="135" spans="7:13" s="3" customFormat="1" ht="73" customHeight="1" x14ac:dyDescent="0.2">
      <c r="G135" s="6"/>
      <c r="H135" s="6"/>
      <c r="I135" s="6"/>
      <c r="J135" s="6"/>
      <c r="K135" s="6"/>
      <c r="L135" s="6"/>
      <c r="M135" s="6"/>
    </row>
    <row r="136" spans="7:13" s="3" customFormat="1" ht="73" customHeight="1" x14ac:dyDescent="0.2">
      <c r="G136" s="6"/>
      <c r="H136" s="6"/>
      <c r="I136" s="6"/>
      <c r="J136" s="6"/>
      <c r="K136" s="6"/>
      <c r="L136" s="6"/>
      <c r="M136" s="6"/>
    </row>
    <row r="137" spans="7:13" s="3" customFormat="1" ht="73" customHeight="1" x14ac:dyDescent="0.2">
      <c r="G137" s="6"/>
      <c r="H137" s="6"/>
      <c r="I137" s="6"/>
      <c r="J137" s="6"/>
      <c r="K137" s="6"/>
      <c r="L137" s="6"/>
      <c r="M137" s="6"/>
    </row>
    <row r="138" spans="7:13" s="3" customFormat="1" ht="73" customHeight="1" x14ac:dyDescent="0.2">
      <c r="G138" s="6"/>
      <c r="H138" s="6"/>
      <c r="I138" s="6"/>
      <c r="J138" s="6"/>
      <c r="K138" s="6"/>
      <c r="L138" s="6"/>
      <c r="M138" s="6"/>
    </row>
    <row r="139" spans="7:13" s="3" customFormat="1" ht="73" customHeight="1" x14ac:dyDescent="0.2">
      <c r="G139" s="6"/>
      <c r="H139" s="6"/>
      <c r="I139" s="6"/>
      <c r="J139" s="6"/>
      <c r="K139" s="6"/>
      <c r="L139" s="6"/>
      <c r="M139" s="6"/>
    </row>
    <row r="140" spans="7:13" s="3" customFormat="1" x14ac:dyDescent="0.2">
      <c r="G140" s="6"/>
      <c r="H140" s="6"/>
      <c r="I140" s="6"/>
      <c r="J140" s="6"/>
      <c r="K140" s="6"/>
      <c r="L140" s="6"/>
      <c r="M140" s="6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Microsoft Office User</cp:lastModifiedBy>
  <dcterms:created xsi:type="dcterms:W3CDTF">2018-05-16T19:03:45Z</dcterms:created>
  <dcterms:modified xsi:type="dcterms:W3CDTF">2018-05-18T20:06:49Z</dcterms:modified>
</cp:coreProperties>
</file>