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13_ncr:1_{5D731ED0-1879-3147-90D6-98CDDD26FF92}" xr6:coauthVersionLast="36" xr6:coauthVersionMax="36" xr10:uidLastSave="{00000000-0000-0000-0000-000000000000}"/>
  <bookViews>
    <workbookView xWindow="1360" yWindow="460" windowWidth="39600" windowHeight="17520" tabRatio="767" xr2:uid="{00000000-000D-0000-FFFF-FFFF00000000}"/>
  </bookViews>
  <sheets>
    <sheet name="Sheet1" sheetId="16" r:id="rId1"/>
    <sheet name="Style codes" sheetId="17" r:id="rId2"/>
  </sheets>
  <externalReferences>
    <externalReference r:id="rId3"/>
  </externalReferences>
  <calcPr calcId="179021"/>
</workbook>
</file>

<file path=xl/calcChain.xml><?xml version="1.0" encoding="utf-8"?>
<calcChain xmlns="http://schemas.openxmlformats.org/spreadsheetml/2006/main">
  <c r="G10" i="16" l="1"/>
  <c r="A10" i="16"/>
  <c r="G7" i="16"/>
  <c r="A9" i="16"/>
  <c r="A8" i="16"/>
  <c r="A6" i="16"/>
  <c r="A5" i="16"/>
  <c r="A4" i="16"/>
  <c r="A3" i="16"/>
  <c r="G9" i="16"/>
  <c r="G8" i="16"/>
  <c r="G6" i="16"/>
  <c r="G5" i="16"/>
  <c r="G4" i="16"/>
  <c r="G3" i="16"/>
  <c r="G2" i="16"/>
  <c r="A2" i="16"/>
  <c r="B2" i="16"/>
</calcChain>
</file>

<file path=xl/sharedStrings.xml><?xml version="1.0" encoding="utf-8"?>
<sst xmlns="http://schemas.openxmlformats.org/spreadsheetml/2006/main" count="70" uniqueCount="57">
  <si>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</si>
  <si>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</si>
  <si>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</si>
  <si>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</si>
  <si>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</si>
  <si>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</si>
  <si>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</si>
  <si>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</si>
  <si>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</si>
  <si>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</si>
  <si>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</si>
  <si>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</si>
  <si>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</si>
  <si>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</si>
  <si>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</si>
  <si>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</si>
  <si>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</si>
  <si>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</si>
  <si>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</si>
  <si>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</si>
  <si>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</si>
  <si>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</si>
  <si>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</si>
  <si>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</si>
  <si>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</si>
  <si>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</si>
  <si>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</si>
  <si>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</si>
  <si>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</si>
  <si>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</si>
  <si>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</si>
  <si>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B020131ON-MCG-4Y-V2</t>
    <phoneticPr fontId="2" type="noConversion"/>
  </si>
  <si>
    <t>B020130CP-MCG-4R-V25</t>
    <phoneticPr fontId="2" type="noConversion"/>
  </si>
  <si>
    <t>B020130OE-MCG-4R-V</t>
  </si>
  <si>
    <t>B020119BR-MCR-4Y-V</t>
    <phoneticPr fontId="2" type="noConversion"/>
  </si>
  <si>
    <t>B020122LE-MCG-4Y-V</t>
    <phoneticPr fontId="2" type="noConversion"/>
  </si>
  <si>
    <t>B020122BR-MCG-4Y-V</t>
  </si>
  <si>
    <t>6.5</t>
  </si>
  <si>
    <t>7.5</t>
  </si>
  <si>
    <t>14YN1276</t>
  </si>
  <si>
    <t>14WE470</t>
  </si>
  <si>
    <t>14RN1277</t>
  </si>
  <si>
    <t>14RE471</t>
  </si>
  <si>
    <t>14YR982-65</t>
  </si>
  <si>
    <t>14YR982-75</t>
  </si>
  <si>
    <t>14YR983-65</t>
  </si>
  <si>
    <t>14YR983-75</t>
  </si>
  <si>
    <t>14YE472</t>
  </si>
  <si>
    <t>14k WG Dia Tassel earring</t>
  </si>
  <si>
    <t xml:space="preserve">14k YG Dia Multi 4x2 bagg cirlce necklace </t>
  </si>
  <si>
    <t>14k RG Dia Multi 3mm Rounds  cirlce necklace (Amy/Cit/Ptour/Garn)</t>
  </si>
  <si>
    <t>14k RG Dia Multi 3mm Rounds  cirlce Earr (Amy/Cit/Ptour/Garn)</t>
  </si>
  <si>
    <t>14K  YG Multi 5x3 oval ring (Amy/TZ/pTou/Gar)</t>
  </si>
  <si>
    <t>14K  YG Dia  &amp;  Multi 5x3 oval ring (Amy/TZ/pTou/Gar)</t>
  </si>
  <si>
    <t>581</t>
  </si>
  <si>
    <t>589</t>
  </si>
  <si>
    <t>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</si>
</sst>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4" fontId="8" fillId="0" borderId="1" xfId="4" applyFont="1" applyBorder="1" applyAlignment="1">
      <alignment horizontal="left" vertical="center"/>
    </xf>
    <xf numFmtId="164" fontId="8" fillId="0" borderId="3" xfId="4" applyFont="1" applyBorder="1" applyAlignment="1">
      <alignment horizontal="left" vertical="center"/>
    </xf>
    <xf numFmtId="164" fontId="8" fillId="0" borderId="2" xfId="4" applyFont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43</xdr:row>
      <xdr:rowOff>88900</xdr:rowOff>
    </xdr:from>
    <xdr:to>
      <xdr:col>6</xdr:col>
      <xdr:colOff>0</xdr:colOff>
      <xdr:row>47</xdr:row>
      <xdr:rowOff>152400</xdr:rowOff>
    </xdr:to>
    <xdr:pic>
      <xdr:nvPicPr>
        <xdr:cNvPr id="2" name="Picture 1" descr="b020122br-mcg-4r-v.jpg">
          <a:extLst>
            <a:ext uri="{FF2B5EF4-FFF2-40B4-BE49-F238E27FC236}">
              <a16:creationId xmlns:a16="http://schemas.microsoft.com/office/drawing/2014/main" id="{FE7458AE-A783-4B40-893A-05BC8E53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2000" y="9118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203200</xdr:rowOff>
    </xdr:from>
    <xdr:to>
      <xdr:col>6</xdr:col>
      <xdr:colOff>152400</xdr:colOff>
      <xdr:row>13</xdr:row>
      <xdr:rowOff>177800</xdr:rowOff>
    </xdr:to>
    <xdr:pic>
      <xdr:nvPicPr>
        <xdr:cNvPr id="3" name="Picture 2" descr="b020131on-mcg-4r-v2.jpg">
          <a:extLst>
            <a:ext uri="{FF2B5EF4-FFF2-40B4-BE49-F238E27FC236}">
              <a16:creationId xmlns:a16="http://schemas.microsoft.com/office/drawing/2014/main" id="{2F6B2CED-9956-5346-B817-FDBC94D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80100" y="22479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25</xdr:row>
      <xdr:rowOff>114300</xdr:rowOff>
    </xdr:from>
    <xdr:to>
      <xdr:col>6</xdr:col>
      <xdr:colOff>114300</xdr:colOff>
      <xdr:row>29</xdr:row>
      <xdr:rowOff>177800</xdr:rowOff>
    </xdr:to>
    <xdr:pic>
      <xdr:nvPicPr>
        <xdr:cNvPr id="4" name="Picture 3" descr="b020119br-mcr-4y-v.jpg">
          <a:extLst>
            <a:ext uri="{FF2B5EF4-FFF2-40B4-BE49-F238E27FC236}">
              <a16:creationId xmlns:a16="http://schemas.microsoft.com/office/drawing/2014/main" id="{F7DCAE3A-18F7-5A4C-ADE2-A91B24E9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56300" y="57150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37</xdr:row>
      <xdr:rowOff>127000</xdr:rowOff>
    </xdr:from>
    <xdr:to>
      <xdr:col>6</xdr:col>
      <xdr:colOff>88900</xdr:colOff>
      <xdr:row>42</xdr:row>
      <xdr:rowOff>0</xdr:rowOff>
    </xdr:to>
    <xdr:pic>
      <xdr:nvPicPr>
        <xdr:cNvPr id="5" name="Picture 4" descr="b020122le-mcg-4y-v.jpg">
          <a:extLst>
            <a:ext uri="{FF2B5EF4-FFF2-40B4-BE49-F238E27FC236}">
              <a16:creationId xmlns:a16="http://schemas.microsoft.com/office/drawing/2014/main" id="{E0FBC3A9-B94F-FE4B-828F-649E98D1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30900" y="80137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5</xdr:row>
      <xdr:rowOff>0</xdr:rowOff>
    </xdr:from>
    <xdr:to>
      <xdr:col>6</xdr:col>
      <xdr:colOff>44684</xdr:colOff>
      <xdr:row>8</xdr:row>
      <xdr:rowOff>101599</xdr:rowOff>
    </xdr:to>
    <xdr:pic>
      <xdr:nvPicPr>
        <xdr:cNvPr id="6" name="Picture 7" descr="7934dwe4rxa11.jpg">
          <a:extLst>
            <a:ext uri="{FF2B5EF4-FFF2-40B4-BE49-F238E27FC236}">
              <a16:creationId xmlns:a16="http://schemas.microsoft.com/office/drawing/2014/main" id="{67CD7336-4DC5-B544-8279-8A582972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800" y="1130300"/>
          <a:ext cx="819384" cy="82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88900</xdr:colOff>
      <xdr:row>15</xdr:row>
      <xdr:rowOff>12700</xdr:rowOff>
    </xdr:from>
    <xdr:to>
      <xdr:col>6</xdr:col>
      <xdr:colOff>76200</xdr:colOff>
      <xdr:row>18</xdr:row>
      <xdr:rowOff>114300</xdr:rowOff>
    </xdr:to>
    <xdr:pic>
      <xdr:nvPicPr>
        <xdr:cNvPr id="7" name="Picture 6" descr="b020130cp-mcg-4r-v25.jpg">
          <a:extLst>
            <a:ext uri="{FF2B5EF4-FFF2-40B4-BE49-F238E27FC236}">
              <a16:creationId xmlns:a16="http://schemas.microsoft.com/office/drawing/2014/main" id="{DBB362A5-FCC2-8E46-87DC-B3B0E9B4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18200" y="34544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19</xdr:row>
      <xdr:rowOff>139700</xdr:rowOff>
    </xdr:from>
    <xdr:to>
      <xdr:col>6</xdr:col>
      <xdr:colOff>177800</xdr:colOff>
      <xdr:row>23</xdr:row>
      <xdr:rowOff>152400</xdr:rowOff>
    </xdr:to>
    <xdr:pic>
      <xdr:nvPicPr>
        <xdr:cNvPr id="8" name="Picture 7" descr="b020130oe-mcg-4r-v.jpg">
          <a:extLst>
            <a:ext uri="{FF2B5EF4-FFF2-40B4-BE49-F238E27FC236}">
              <a16:creationId xmlns:a16="http://schemas.microsoft.com/office/drawing/2014/main" id="{83B9FE96-8274-7744-A9CE-81C80D9F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19800" y="4546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31</xdr:row>
      <xdr:rowOff>76200</xdr:rowOff>
    </xdr:from>
    <xdr:to>
      <xdr:col>6</xdr:col>
      <xdr:colOff>76200</xdr:colOff>
      <xdr:row>35</xdr:row>
      <xdr:rowOff>139700</xdr:rowOff>
    </xdr:to>
    <xdr:pic>
      <xdr:nvPicPr>
        <xdr:cNvPr id="9" name="Picture 8" descr="b020119br-mcr-4y-v.jpg">
          <a:extLst>
            <a:ext uri="{FF2B5EF4-FFF2-40B4-BE49-F238E27FC236}">
              <a16:creationId xmlns:a16="http://schemas.microsoft.com/office/drawing/2014/main" id="{85224F17-CAE6-874C-AB6E-90675EBE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18200" y="68199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76200</xdr:rowOff>
    </xdr:from>
    <xdr:to>
      <xdr:col>5</xdr:col>
      <xdr:colOff>825500</xdr:colOff>
      <xdr:row>53</xdr:row>
      <xdr:rowOff>139700</xdr:rowOff>
    </xdr:to>
    <xdr:pic>
      <xdr:nvPicPr>
        <xdr:cNvPr id="10" name="Picture 9" descr="b020122br-mcg-4r-v.jpg">
          <a:extLst>
            <a:ext uri="{FF2B5EF4-FFF2-40B4-BE49-F238E27FC236}">
              <a16:creationId xmlns:a16="http://schemas.microsoft.com/office/drawing/2014/main" id="{6D66B203-2925-6347-B5E3-17DC76B0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10248900"/>
          <a:ext cx="825500" cy="825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ocuments/DIAMONDS/Leo-Lavie/packing%20list/SI6990-UUS089%20sept%20show%202018%20Breakdown-2018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</sheetNames>
    <sheetDataSet>
      <sheetData sheetId="0">
        <row r="5">
          <cell r="C5">
            <v>233</v>
          </cell>
          <cell r="F5" t="str">
            <v>7934DWE4WTA1D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1" topLeftCell="A2" activePane="bottomLeft" state="frozen"/>
      <selection pane="bottomLeft" activeCell="M2" sqref="M2:M10"/>
    </sheetView>
  </sheetViews>
  <sheetFormatPr baseColWidth="10" defaultColWidth="8.83203125" defaultRowHeight="15"/>
  <cols>
    <col min="1" max="1" width="17.5" style="22" customWidth="1"/>
    <col min="2" max="2" width="22" style="16" customWidth="1"/>
    <col min="3" max="3" width="12" style="23" customWidth="1"/>
    <col min="4" max="4" width="18.6640625" style="24" customWidth="1"/>
    <col min="5" max="5" width="34.83203125" style="23" customWidth="1"/>
    <col min="6" max="6" width="8.33203125" style="25" customWidth="1"/>
    <col min="7" max="7" width="8.6640625" style="24" customWidth="1"/>
    <col min="8" max="8" width="8.5" style="24" customWidth="1"/>
    <col min="9" max="9" width="6.5" style="24" customWidth="1"/>
    <col min="10" max="11" width="7.5" style="24" customWidth="1"/>
    <col min="12" max="12" width="9.33203125" style="24" customWidth="1"/>
    <col min="13" max="13" width="6.83203125" style="26" customWidth="1"/>
    <col min="14" max="14" width="17.5" style="1" customWidth="1"/>
    <col min="15" max="214" width="11" customWidth="1"/>
  </cols>
  <sheetData>
    <row r="1" spans="1:14" s="4" customFormat="1" ht="32.25" customHeight="1">
      <c r="A1" s="17" t="s">
        <v>11</v>
      </c>
      <c r="B1" s="15" t="s">
        <v>10</v>
      </c>
      <c r="C1" s="3" t="s">
        <v>12</v>
      </c>
      <c r="D1" s="2" t="s">
        <v>8</v>
      </c>
      <c r="E1" s="3" t="s">
        <v>0</v>
      </c>
      <c r="F1" s="3" t="s">
        <v>6</v>
      </c>
      <c r="G1" s="2" t="s">
        <v>1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2</v>
      </c>
      <c r="M1" s="2" t="s">
        <v>7</v>
      </c>
      <c r="N1" s="3" t="s">
        <v>13</v>
      </c>
    </row>
    <row r="2" spans="1:14" ht="15" customHeight="1">
      <c r="A2" s="21">
        <f>[1]Quotation!$C$5</f>
        <v>233</v>
      </c>
      <c r="B2" s="22" t="str">
        <f>[1]Quotation!$F5</f>
        <v>7934DWE4WTA1D</v>
      </c>
      <c r="C2" s="23" t="s">
        <v>40</v>
      </c>
      <c r="E2" s="23" t="s">
        <v>48</v>
      </c>
      <c r="G2" s="24">
        <f>J2+((H2+I2)/5)</f>
        <v>3.5999999999999996</v>
      </c>
      <c r="H2" s="24">
        <v>0.25</v>
      </c>
      <c r="J2" s="24">
        <v>3.55</v>
      </c>
      <c r="K2" s="24">
        <v>78</v>
      </c>
      <c r="L2">
        <v>924</v>
      </c>
      <c r="M2" s="26">
        <v>1</v>
      </c>
      <c r="N2" s="1" t="s">
        <v>54</v>
      </c>
    </row>
    <row r="3" spans="1:14" ht="15" customHeight="1" thickBot="1">
      <c r="A3" s="21">
        <f>[1]Quotation!$C$5</f>
        <v>233</v>
      </c>
      <c r="B3" s="18" t="s">
        <v>31</v>
      </c>
      <c r="C3" s="23" t="s">
        <v>39</v>
      </c>
      <c r="E3" s="23" t="s">
        <v>49</v>
      </c>
      <c r="G3" s="24">
        <f t="shared" ref="G3:G9" si="0">J3+((H3+I3)/5)</f>
        <v>3.4580000000000002</v>
      </c>
      <c r="H3" s="24">
        <v>0.18</v>
      </c>
      <c r="I3" s="24">
        <v>2.16</v>
      </c>
      <c r="J3" s="24">
        <v>2.99</v>
      </c>
      <c r="K3" s="24">
        <v>13</v>
      </c>
      <c r="L3">
        <v>987</v>
      </c>
      <c r="M3" s="26">
        <v>3</v>
      </c>
      <c r="N3" s="1" t="s">
        <v>55</v>
      </c>
    </row>
    <row r="4" spans="1:14" ht="15" customHeight="1">
      <c r="A4" s="21">
        <f>[1]Quotation!$C$5</f>
        <v>233</v>
      </c>
      <c r="B4" s="27" t="s">
        <v>32</v>
      </c>
      <c r="C4" s="23" t="s">
        <v>41</v>
      </c>
      <c r="E4" s="23" t="s">
        <v>50</v>
      </c>
      <c r="G4" s="24">
        <f t="shared" si="0"/>
        <v>3.754</v>
      </c>
      <c r="H4" s="24">
        <v>0.04</v>
      </c>
      <c r="I4" s="24">
        <v>1.63</v>
      </c>
      <c r="J4" s="24">
        <v>3.42</v>
      </c>
      <c r="K4" s="24">
        <v>9</v>
      </c>
      <c r="L4">
        <v>710</v>
      </c>
      <c r="M4" s="26">
        <v>3</v>
      </c>
      <c r="N4" s="1" t="s">
        <v>55</v>
      </c>
    </row>
    <row r="5" spans="1:14" ht="15" customHeight="1">
      <c r="A5" s="21">
        <f>[1]Quotation!$C$5</f>
        <v>233</v>
      </c>
      <c r="B5" s="19" t="s">
        <v>33</v>
      </c>
      <c r="C5" s="23" t="s">
        <v>42</v>
      </c>
      <c r="E5" s="23" t="s">
        <v>51</v>
      </c>
      <c r="G5" s="24">
        <f t="shared" si="0"/>
        <v>5.24</v>
      </c>
      <c r="H5" s="24">
        <v>0.19</v>
      </c>
      <c r="I5" s="24">
        <v>3.31</v>
      </c>
      <c r="J5" s="24">
        <v>4.54</v>
      </c>
      <c r="K5" s="24">
        <v>42</v>
      </c>
      <c r="L5">
        <v>1292</v>
      </c>
      <c r="M5" s="26">
        <v>3</v>
      </c>
      <c r="N5" s="1" t="s">
        <v>54</v>
      </c>
    </row>
    <row r="6" spans="1:14" ht="15" customHeight="1">
      <c r="A6" s="21">
        <f>[1]Quotation!$C$5</f>
        <v>233</v>
      </c>
      <c r="B6" s="18" t="s">
        <v>34</v>
      </c>
      <c r="C6" s="23" t="s">
        <v>43</v>
      </c>
      <c r="E6" s="23" t="s">
        <v>52</v>
      </c>
      <c r="F6" s="25" t="s">
        <v>37</v>
      </c>
      <c r="G6" s="24">
        <f t="shared" si="0"/>
        <v>2.3340000000000001</v>
      </c>
      <c r="H6" s="28"/>
      <c r="I6" s="24">
        <v>2.0699999999999998</v>
      </c>
      <c r="J6" s="24">
        <v>1.92</v>
      </c>
      <c r="L6">
        <v>539</v>
      </c>
      <c r="M6" s="26">
        <v>2</v>
      </c>
      <c r="N6" s="1" t="s">
        <v>56</v>
      </c>
    </row>
    <row r="7" spans="1:14" ht="15" customHeight="1">
      <c r="A7" s="21">
        <v>233</v>
      </c>
      <c r="B7" s="18" t="s">
        <v>34</v>
      </c>
      <c r="C7" s="23" t="s">
        <v>44</v>
      </c>
      <c r="E7" s="23" t="s">
        <v>52</v>
      </c>
      <c r="F7" s="25" t="s">
        <v>38</v>
      </c>
      <c r="G7" s="24">
        <f t="shared" si="0"/>
        <v>2.4039999999999999</v>
      </c>
      <c r="H7" s="28"/>
      <c r="I7" s="24">
        <v>2.0699999999999998</v>
      </c>
      <c r="J7" s="24">
        <v>1.99</v>
      </c>
      <c r="L7">
        <v>539</v>
      </c>
      <c r="M7" s="26">
        <v>2</v>
      </c>
      <c r="N7" s="1" t="s">
        <v>56</v>
      </c>
    </row>
    <row r="8" spans="1:14" ht="15" customHeight="1" thickBot="1">
      <c r="A8" s="21">
        <f>[1]Quotation!$C$5</f>
        <v>233</v>
      </c>
      <c r="B8" s="18" t="s">
        <v>35</v>
      </c>
      <c r="C8" s="23" t="s">
        <v>47</v>
      </c>
      <c r="E8" s="23" t="s">
        <v>52</v>
      </c>
      <c r="G8" s="24">
        <f t="shared" si="0"/>
        <v>6.07</v>
      </c>
      <c r="H8" s="24">
        <v>0.13</v>
      </c>
      <c r="I8" s="24">
        <v>3.52</v>
      </c>
      <c r="J8" s="24">
        <v>5.34</v>
      </c>
      <c r="K8" s="24">
        <v>8</v>
      </c>
      <c r="L8">
        <v>1183</v>
      </c>
      <c r="M8" s="26">
        <v>1</v>
      </c>
      <c r="N8" s="1" t="s">
        <v>54</v>
      </c>
    </row>
    <row r="9" spans="1:14" ht="15" customHeight="1" thickBot="1">
      <c r="A9" s="21">
        <f>[1]Quotation!$C$5</f>
        <v>233</v>
      </c>
      <c r="B9" s="20" t="s">
        <v>36</v>
      </c>
      <c r="C9" s="23" t="s">
        <v>45</v>
      </c>
      <c r="E9" s="23" t="s">
        <v>53</v>
      </c>
      <c r="F9" s="25" t="s">
        <v>37</v>
      </c>
      <c r="G9" s="24">
        <f t="shared" si="0"/>
        <v>2.4979999999999998</v>
      </c>
      <c r="H9" s="24">
        <v>0.06</v>
      </c>
      <c r="I9" s="24">
        <v>1.68</v>
      </c>
      <c r="J9" s="24">
        <v>2.15</v>
      </c>
      <c r="K9" s="24">
        <v>4</v>
      </c>
      <c r="L9">
        <v>550</v>
      </c>
      <c r="M9" s="26">
        <v>2</v>
      </c>
      <c r="N9" s="1" t="s">
        <v>56</v>
      </c>
    </row>
    <row r="10" spans="1:14" ht="15" customHeight="1">
      <c r="A10" s="21">
        <f>[1]Quotation!$C$5</f>
        <v>233</v>
      </c>
      <c r="B10" s="20" t="s">
        <v>36</v>
      </c>
      <c r="C10" s="23" t="s">
        <v>46</v>
      </c>
      <c r="E10" s="23" t="s">
        <v>53</v>
      </c>
      <c r="F10" s="25" t="s">
        <v>38</v>
      </c>
      <c r="G10" s="24">
        <f t="shared" ref="G10" si="1">J10+((H10+I10)/5)</f>
        <v>2.4979999999999998</v>
      </c>
      <c r="H10" s="24">
        <v>0.06</v>
      </c>
      <c r="I10" s="24">
        <v>1.68</v>
      </c>
      <c r="J10" s="24">
        <v>2.15</v>
      </c>
      <c r="K10" s="24">
        <v>4</v>
      </c>
      <c r="L10">
        <v>550</v>
      </c>
      <c r="M10" s="26">
        <v>2</v>
      </c>
      <c r="N10" s="1" t="s">
        <v>56</v>
      </c>
    </row>
  </sheetData>
  <conditionalFormatting sqref="B3:B9 B11:B65390">
    <cfRule type="duplicateValues" dxfId="1" priority="4" stopIfTrue="1"/>
  </conditionalFormatting>
  <conditionalFormatting sqref="B10">
    <cfRule type="duplicateValues" dxfId="0" priority="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I13" sqref="I13"/>
    </sheetView>
  </sheetViews>
  <sheetFormatPr baseColWidth="10" defaultColWidth="8.83203125" defaultRowHeight="15"/>
  <cols>
    <col min="1" max="1" width="30" customWidth="1"/>
    <col min="2" max="2" width="13.5" customWidth="1"/>
    <col min="3" max="256" width="11" customWidth="1"/>
  </cols>
  <sheetData>
    <row r="3" spans="1:2" ht="21">
      <c r="A3" s="10" t="s">
        <v>14</v>
      </c>
      <c r="B3" s="5" t="s">
        <v>15</v>
      </c>
    </row>
    <row r="4" spans="1:2" ht="19">
      <c r="A4" s="11" t="s">
        <v>16</v>
      </c>
      <c r="B4" s="6">
        <v>581</v>
      </c>
    </row>
    <row r="5" spans="1:2" ht="19">
      <c r="A5" s="11" t="s">
        <v>18</v>
      </c>
      <c r="B5" s="6">
        <v>584</v>
      </c>
    </row>
    <row r="6" spans="1:2" ht="19">
      <c r="A6" s="11" t="s">
        <v>17</v>
      </c>
      <c r="B6" s="6">
        <v>586</v>
      </c>
    </row>
    <row r="7" spans="1:2" ht="19">
      <c r="A7" s="11" t="s">
        <v>19</v>
      </c>
      <c r="B7" s="6">
        <v>589</v>
      </c>
    </row>
    <row r="8" spans="1:2" ht="19">
      <c r="A8" s="11" t="s">
        <v>20</v>
      </c>
      <c r="B8" s="6">
        <v>5810</v>
      </c>
    </row>
    <row r="9" spans="1:2">
      <c r="A9" s="12"/>
      <c r="B9" s="7"/>
    </row>
    <row r="10" spans="1:2" ht="19">
      <c r="A10" s="13" t="s">
        <v>21</v>
      </c>
      <c r="B10" s="8">
        <v>751</v>
      </c>
    </row>
    <row r="11" spans="1:2" ht="19">
      <c r="A11" s="13" t="s">
        <v>22</v>
      </c>
      <c r="B11" s="8">
        <v>754</v>
      </c>
    </row>
    <row r="12" spans="1:2" ht="19">
      <c r="A12" s="13" t="s">
        <v>23</v>
      </c>
      <c r="B12" s="8">
        <v>756</v>
      </c>
    </row>
    <row r="13" spans="1:2" ht="19">
      <c r="A13" s="13" t="s">
        <v>24</v>
      </c>
      <c r="B13" s="8">
        <v>759</v>
      </c>
    </row>
    <row r="14" spans="1:2" ht="19">
      <c r="A14" s="13" t="s">
        <v>25</v>
      </c>
      <c r="B14" s="8">
        <v>7510</v>
      </c>
    </row>
    <row r="15" spans="1:2">
      <c r="A15" s="12"/>
      <c r="B15" s="7"/>
    </row>
    <row r="16" spans="1:2" ht="19">
      <c r="A16" s="14" t="s">
        <v>26</v>
      </c>
      <c r="B16" s="9">
        <v>1</v>
      </c>
    </row>
    <row r="17" spans="1:2" ht="19">
      <c r="A17" s="14" t="s">
        <v>27</v>
      </c>
      <c r="B17" s="9">
        <v>4</v>
      </c>
    </row>
    <row r="18" spans="1:2" ht="19">
      <c r="A18" s="14" t="s">
        <v>28</v>
      </c>
      <c r="B18" s="9">
        <v>6</v>
      </c>
    </row>
    <row r="19" spans="1:2" ht="19">
      <c r="A19" s="14" t="s">
        <v>29</v>
      </c>
      <c r="B19" s="9">
        <v>9</v>
      </c>
    </row>
    <row r="20" spans="1:2" ht="19">
      <c r="A20" s="14" t="s">
        <v>30</v>
      </c>
      <c r="B20" s="9">
        <v>10</v>
      </c>
    </row>
  </sheetData>
  <pageMargins left="0.75" right="0.75" top="1" bottom="1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2018-11-09T18:36:54Z</dcterms:modified>
</cp:coreProperties>
</file>