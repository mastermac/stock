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3" i="16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2"/>
  <c r="P89"/>
  <c r="P90"/>
</calcChain>
</file>

<file path=xl/sharedStrings.xml><?xml version="1.0" encoding="utf-8"?>
<sst xmlns="http://schemas.openxmlformats.org/spreadsheetml/2006/main" count="162" uniqueCount="141">
  <si>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</si>
  <si>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</si>
  <si>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</si>
  <si>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</si>
  <si>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</si>
  <si>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</si>
  <si>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</si>
  <si>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</si>
  <si>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</si>
  <si>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</si>
  <si>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</si>
  <si>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</si>
  <si>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</si>
  <si>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</si>
  <si>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</si>
  <si>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</si>
  <si>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</si>
  <si>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</si>
  <si>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</si>
  <si>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</si>
  <si>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</si>
  <si>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</si>
  <si>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</si>
  <si>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</si>
  <si>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</si>
  <si>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</si>
  <si>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</si>
  <si>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</si>
  <si>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</si>
  <si>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</si>
  <si>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</si>
  <si>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SDC-1387</t>
  </si>
  <si>
    <t>Diamond Lock - 10 MM Rh</t>
  </si>
  <si>
    <t>Diamond Lock - 10 MM Gold Plated</t>
  </si>
  <si>
    <t>SDC-1055</t>
  </si>
  <si>
    <t>Pave Diam Roundel 5mm RH</t>
  </si>
  <si>
    <t>UR-SDE1</t>
  </si>
  <si>
    <t>Dia Hoop Earrring -Moonstone</t>
  </si>
  <si>
    <t>UR-SDE2</t>
  </si>
  <si>
    <t>Dia Hoop Earrring -Labradorite</t>
  </si>
  <si>
    <t>P-2496</t>
  </si>
  <si>
    <t>JL-SDP2</t>
  </si>
  <si>
    <t>Silver &amp; (14k Gold Dia J&amp;L) Pdt with Gold plating</t>
  </si>
  <si>
    <t>14RR903-7</t>
  </si>
  <si>
    <t>14K YG Dia Lab Ring-7</t>
  </si>
  <si>
    <t>SIZE 7</t>
  </si>
  <si>
    <t>14RR903-8</t>
  </si>
  <si>
    <t>14K YG Dia Lab Ring-8</t>
  </si>
  <si>
    <t>SIZE 8</t>
  </si>
  <si>
    <t>14RR848-7</t>
  </si>
  <si>
    <t>14k RG Dia RMST Ring-7</t>
  </si>
  <si>
    <t>14RR848-8</t>
  </si>
  <si>
    <t>14k RG Dia RMST Ring-8</t>
  </si>
  <si>
    <t>14RR848-9</t>
  </si>
  <si>
    <t>14k RG Dia RMST Ring-9</t>
  </si>
  <si>
    <t>SIZE 9</t>
  </si>
  <si>
    <t>EA-87</t>
  </si>
  <si>
    <t>14YE458</t>
  </si>
  <si>
    <t>14K YG Spike Studs</t>
  </si>
  <si>
    <t>EA-86</t>
  </si>
  <si>
    <t>14YE459</t>
  </si>
  <si>
    <t>14K YG Dia Spike Studs</t>
  </si>
  <si>
    <t>EA-88</t>
  </si>
  <si>
    <t>14YE460</t>
  </si>
  <si>
    <t>14K YG Dia Opal Earring</t>
  </si>
  <si>
    <t>EA-89</t>
  </si>
  <si>
    <t>14YE461</t>
  </si>
  <si>
    <t>14YN1108</t>
  </si>
  <si>
    <t xml:space="preserve">14K YG Dia Spike Necklace </t>
  </si>
  <si>
    <t>14YN1117</t>
  </si>
  <si>
    <t>14K YG Necklace-Love</t>
  </si>
  <si>
    <t>14WN1117</t>
  </si>
  <si>
    <t>14K WG Necklace-Love</t>
  </si>
  <si>
    <t>14WN1159</t>
  </si>
  <si>
    <t>14K YG Dia Love Nacklace</t>
  </si>
  <si>
    <t>N-125</t>
  </si>
  <si>
    <t>14YN1249</t>
  </si>
  <si>
    <t>14K YG DIA TURQUOISE NECKLACE</t>
  </si>
  <si>
    <t>N-126</t>
  </si>
  <si>
    <t>14YN1250</t>
  </si>
  <si>
    <t>N-127</t>
  </si>
  <si>
    <t>14YN1251</t>
  </si>
  <si>
    <t>N-128</t>
  </si>
  <si>
    <t>14YN1252</t>
  </si>
  <si>
    <t>N-129</t>
  </si>
  <si>
    <t>14YN1253</t>
  </si>
  <si>
    <t>14K YG DIA TURQUOISE Y NECKLACE</t>
  </si>
  <si>
    <t>N-130</t>
  </si>
  <si>
    <t>14YN1254</t>
  </si>
  <si>
    <t>N-131</t>
  </si>
  <si>
    <t>14YN1255</t>
  </si>
  <si>
    <t>N-132</t>
  </si>
  <si>
    <t>14YN1256</t>
  </si>
  <si>
    <t>N-133</t>
  </si>
  <si>
    <t>14YN1257</t>
  </si>
  <si>
    <t>N-134</t>
  </si>
  <si>
    <t>14YN1258</t>
  </si>
  <si>
    <t>N-135</t>
  </si>
  <si>
    <t>14YN1259</t>
  </si>
  <si>
    <t>N-136</t>
  </si>
  <si>
    <t>14YN1260</t>
  </si>
  <si>
    <t xml:space="preserve">14k YG DIA ETH OPAL NECKLACE  </t>
  </si>
  <si>
    <t>N-137</t>
  </si>
  <si>
    <t>14YN1261</t>
  </si>
  <si>
    <t>N-138</t>
  </si>
  <si>
    <t>14YN1262</t>
  </si>
  <si>
    <t>N-139</t>
  </si>
  <si>
    <t>14YN1263</t>
  </si>
  <si>
    <t>N-140</t>
  </si>
  <si>
    <t>14YN1264</t>
  </si>
  <si>
    <t xml:space="preserve">14k YG DIA OPAL Y NECKLACE  </t>
  </si>
  <si>
    <t>N-141</t>
  </si>
  <si>
    <t>14YN1265</t>
  </si>
  <si>
    <t>N-142</t>
  </si>
  <si>
    <t>14YN1266</t>
  </si>
  <si>
    <t>N-143</t>
  </si>
  <si>
    <t>14YN1267</t>
  </si>
  <si>
    <t>N-144</t>
  </si>
  <si>
    <t>14YN1268</t>
  </si>
  <si>
    <t>14K YG DIA TOURMALINE NECKLACE</t>
  </si>
  <si>
    <t>N-145</t>
  </si>
  <si>
    <t>14YN1269</t>
  </si>
  <si>
    <t>N-146</t>
  </si>
  <si>
    <t>14YN1270</t>
  </si>
  <si>
    <t>N-147YN</t>
  </si>
  <si>
    <t>14YN1271</t>
  </si>
  <si>
    <t>14K YG DIA HEART WITH SNAKE PDT</t>
  </si>
  <si>
    <t>N-147RN</t>
  </si>
  <si>
    <t>14RN1271</t>
  </si>
  <si>
    <t>14K RG DIA HEART WITH SNAKE PDT</t>
  </si>
  <si>
    <t>N-148</t>
  </si>
  <si>
    <t>14YN1272</t>
  </si>
  <si>
    <t>14K YG Dia composit Emerald Neckalce</t>
  </si>
  <si>
    <t>PEP-14YP1</t>
  </si>
  <si>
    <t>14K YG PDT Warrior</t>
  </si>
  <si>
    <t>PEP-14YP2</t>
  </si>
  <si>
    <t>14K YG PDT Fuckyeah</t>
  </si>
  <si>
    <t>PEP-14YP3</t>
  </si>
  <si>
    <t>14K YG PDT Boss</t>
  </si>
  <si>
    <t>PEP-14YP4</t>
  </si>
  <si>
    <t>14K YG PDT Badass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</si>
</sst>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1"/>
      <color rgb="FF0000FF"/>
      <name val="Arial"/>
      <family val="2"/>
    </font>
    <font>
      <b/>
      <sz val="10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12"/>
      <name val="Calibri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rgb="FF0000FF"/>
      <name val="Segoe U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0" fillId="0" borderId="2" xfId="0" applyNumberFormat="1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0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9" fontId="3" fillId="0" borderId="2" xfId="0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0" fillId="2" borderId="0" xfId="0" applyNumberFormat="1" applyFill="1"/>
    <xf numFmtId="165" fontId="7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>
      <alignment horizontal="center" vertical="center" wrapText="1"/>
    </xf>
    <xf numFmtId="168" fontId="23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/>
    <xf numFmtId="165" fontId="24" fillId="0" borderId="2" xfId="0" applyNumberFormat="1" applyFont="1" applyFill="1" applyBorder="1" applyAlignment="1">
      <alignment horizontal="center" vertical="center" wrapText="1"/>
    </xf>
    <xf numFmtId="165" fontId="15" fillId="2" borderId="2" xfId="0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165" fontId="0" fillId="2" borderId="2" xfId="0" applyNumberFormat="1" applyFill="1" applyBorder="1" applyAlignment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0" fontId="16" fillId="2" borderId="2" xfId="0" applyFont="1" applyFill="1" applyBorder="1" applyAlignment="1" applyProtection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165" fontId="26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0" fontId="5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0" fillId="0" borderId="5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 applyProtection="1">
      <alignment horizontal="center" vertical="center"/>
      <protection locked="0"/>
    </xf>
    <xf numFmtId="0" fontId="0" fillId="0" borderId="5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 applyProtection="1">
      <alignment horizontal="center" vertical="center" wrapText="1"/>
      <protection locked="0"/>
    </xf>
    <xf numFmtId="0" fontId="30" fillId="0" borderId="2" xfId="0" applyFont="1" applyFill="1" applyBorder="1" applyAlignment="1">
      <alignment horizontal="center" vertical="center" wrapText="1"/>
    </xf>
    <xf numFmtId="165" fontId="30" fillId="0" borderId="2" xfId="0" applyNumberFormat="1" applyFont="1" applyFill="1" applyBorder="1" applyAlignment="1">
      <alignment horizontal="center" vertical="center" wrapText="1"/>
    </xf>
    <xf numFmtId="165" fontId="30" fillId="2" borderId="2" xfId="0" applyNumberFormat="1" applyFont="1" applyFill="1" applyBorder="1" applyAlignment="1">
      <alignment horizontal="center" vertical="center" wrapText="1"/>
    </xf>
    <xf numFmtId="168" fontId="31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168" fontId="0" fillId="0" borderId="2" xfId="0" applyNumberFormat="1" applyBorder="1" applyAlignment="1" applyProtection="1">
      <alignment horizontal="center" vertical="center" wrapText="1"/>
      <protection locked="0"/>
    </xf>
    <xf numFmtId="165" fontId="20" fillId="2" borderId="2" xfId="0" applyNumberFormat="1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168" fontId="20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68" fontId="24" fillId="0" borderId="2" xfId="0" applyNumberFormat="1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165" fontId="32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65" fontId="33" fillId="2" borderId="2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8" fillId="0" borderId="6" xfId="0" applyNumberFormat="1" applyFont="1" applyFill="1" applyBorder="1" applyAlignment="1">
      <alignment horizontal="center" vertical="center"/>
    </xf>
    <xf numFmtId="1" fontId="15" fillId="0" borderId="2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5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s="77" customFormat="1" ht="66" customHeight="1">
      <c r="A2" s="74">
        <v>101</v>
      </c>
      <c r="B2" s="79"/>
      <c r="C2" s="80" t="s">
        <v>31</v>
      </c>
      <c r="D2" s="59"/>
      <c r="E2" s="81" t="s">
        <v>32</v>
      </c>
      <c r="F2" s="38"/>
      <c r="G2" s="91">
        <v>1.1985000000000001</v>
      </c>
      <c r="H2" s="92">
        <v>0.19775000000000004</v>
      </c>
      <c r="I2" s="92">
        <v>0</v>
      </c>
      <c r="J2" s="93">
        <v>0</v>
      </c>
      <c r="K2" s="75">
        <v>55</v>
      </c>
      <c r="L2" s="94">
        <v>45</v>
      </c>
      <c r="M2" s="95">
        <v>60</v>
      </c>
      <c r="N2" s="76">
        <v>10</v>
      </c>
      <c r="P2" s="78">
        <f t="shared" ref="P2:P12" si="0">ROUND(L2,0)</f>
        <v>45</v>
      </c>
    </row>
    <row r="3" spans="1:16" ht="66" customHeight="1">
      <c r="A3" s="74">
        <v>101</v>
      </c>
      <c r="B3" s="79"/>
      <c r="C3" s="80" t="s">
        <v>31</v>
      </c>
      <c r="D3" s="59"/>
      <c r="E3" s="81" t="s">
        <v>33</v>
      </c>
      <c r="F3" s="82"/>
      <c r="G3" s="6">
        <v>1.2037499999999999</v>
      </c>
      <c r="H3" s="23">
        <v>0.19750000000000001</v>
      </c>
      <c r="I3" s="23">
        <v>0</v>
      </c>
      <c r="J3" s="67">
        <v>0</v>
      </c>
      <c r="K3" s="47">
        <v>55</v>
      </c>
      <c r="L3" s="3">
        <v>45</v>
      </c>
      <c r="M3" s="39">
        <v>40</v>
      </c>
      <c r="N3" s="71">
        <v>10</v>
      </c>
      <c r="P3" s="30">
        <f t="shared" si="0"/>
        <v>45</v>
      </c>
    </row>
    <row r="4" spans="1:16" ht="66" customHeight="1">
      <c r="A4" s="74">
        <v>101</v>
      </c>
      <c r="B4" s="83"/>
      <c r="C4" s="79" t="s">
        <v>34</v>
      </c>
      <c r="D4" s="57"/>
      <c r="E4" s="84" t="s">
        <v>35</v>
      </c>
      <c r="F4" s="85"/>
      <c r="G4" s="6">
        <v>0.35047619047619044</v>
      </c>
      <c r="H4" s="23">
        <v>6.142857142857143E-2</v>
      </c>
      <c r="I4" s="23">
        <v>0</v>
      </c>
      <c r="J4" s="67">
        <v>0</v>
      </c>
      <c r="K4" s="47">
        <v>14</v>
      </c>
      <c r="L4" s="3">
        <v>10</v>
      </c>
      <c r="M4" s="39">
        <v>105</v>
      </c>
      <c r="N4" s="71">
        <v>10</v>
      </c>
      <c r="P4" s="30">
        <f t="shared" si="0"/>
        <v>10</v>
      </c>
    </row>
    <row r="5" spans="1:16" ht="66" customHeight="1">
      <c r="A5" s="74">
        <v>101</v>
      </c>
      <c r="B5" s="83"/>
      <c r="C5" s="86" t="s">
        <v>36</v>
      </c>
      <c r="D5" s="22"/>
      <c r="E5" s="87" t="s">
        <v>37</v>
      </c>
      <c r="F5" s="88"/>
      <c r="G5" s="6">
        <v>11.2</v>
      </c>
      <c r="H5" s="23">
        <v>0.42375000000000002</v>
      </c>
      <c r="I5" s="23">
        <v>9.5</v>
      </c>
      <c r="J5" s="67">
        <v>0</v>
      </c>
      <c r="K5" s="47">
        <v>148</v>
      </c>
      <c r="L5" s="3">
        <v>179</v>
      </c>
      <c r="M5" s="39">
        <v>4</v>
      </c>
      <c r="N5" s="71">
        <v>1</v>
      </c>
      <c r="P5" s="30">
        <f t="shared" si="0"/>
        <v>179</v>
      </c>
    </row>
    <row r="6" spans="1:16" ht="66" customHeight="1">
      <c r="A6" s="74">
        <v>101</v>
      </c>
      <c r="B6" s="83"/>
      <c r="C6" s="86" t="s">
        <v>38</v>
      </c>
      <c r="D6" s="59"/>
      <c r="E6" s="87" t="s">
        <v>39</v>
      </c>
      <c r="F6" s="55"/>
      <c r="G6" s="6">
        <v>10.934999999999999</v>
      </c>
      <c r="H6" s="23">
        <v>0.42750000000000005</v>
      </c>
      <c r="I6" s="23">
        <v>8.5</v>
      </c>
      <c r="J6" s="67">
        <v>0</v>
      </c>
      <c r="K6" s="47">
        <v>148</v>
      </c>
      <c r="L6" s="3">
        <v>179</v>
      </c>
      <c r="M6" s="48">
        <v>2</v>
      </c>
      <c r="N6" s="71">
        <v>1</v>
      </c>
      <c r="P6" s="30">
        <f t="shared" si="0"/>
        <v>179</v>
      </c>
    </row>
    <row r="7" spans="1:16" ht="66" customHeight="1">
      <c r="A7" s="74">
        <v>101</v>
      </c>
      <c r="B7" s="7" t="s">
        <v>40</v>
      </c>
      <c r="C7" s="89" t="s">
        <v>41</v>
      </c>
      <c r="D7" s="61"/>
      <c r="E7" s="90" t="s">
        <v>42</v>
      </c>
      <c r="F7" s="55"/>
      <c r="G7" s="6">
        <v>13.58</v>
      </c>
      <c r="H7" s="23">
        <v>0.92500000000000004</v>
      </c>
      <c r="I7" s="23">
        <v>0</v>
      </c>
      <c r="J7" s="67">
        <v>1.7869999999999999</v>
      </c>
      <c r="K7" s="47">
        <v>215</v>
      </c>
      <c r="L7" s="3">
        <v>1219</v>
      </c>
      <c r="M7" s="48">
        <v>1</v>
      </c>
      <c r="N7" s="71">
        <v>8</v>
      </c>
      <c r="P7" s="30">
        <f t="shared" si="0"/>
        <v>1219</v>
      </c>
    </row>
    <row r="8" spans="1:16" ht="66" customHeight="1">
      <c r="A8" s="74">
        <v>101</v>
      </c>
      <c r="B8" s="79"/>
      <c r="C8" s="96" t="s">
        <v>43</v>
      </c>
      <c r="D8" s="59"/>
      <c r="E8" s="97" t="s">
        <v>44</v>
      </c>
      <c r="F8" s="38" t="s">
        <v>45</v>
      </c>
      <c r="G8" s="6">
        <v>2.0585</v>
      </c>
      <c r="H8" s="23">
        <v>0.1825</v>
      </c>
      <c r="I8" s="23">
        <v>2</v>
      </c>
      <c r="J8" s="67">
        <v>1.6219999999999999</v>
      </c>
      <c r="K8" s="47">
        <v>56</v>
      </c>
      <c r="L8" s="3">
        <v>446</v>
      </c>
      <c r="M8" s="48">
        <v>2</v>
      </c>
      <c r="N8" s="71">
        <v>586</v>
      </c>
      <c r="P8" s="30">
        <f t="shared" si="0"/>
        <v>446</v>
      </c>
    </row>
    <row r="9" spans="1:16" ht="66" customHeight="1">
      <c r="A9" s="74">
        <v>101</v>
      </c>
      <c r="B9" s="79"/>
      <c r="C9" s="96" t="s">
        <v>46</v>
      </c>
      <c r="D9" s="59"/>
      <c r="E9" s="98" t="s">
        <v>47</v>
      </c>
      <c r="F9" s="82" t="s">
        <v>48</v>
      </c>
      <c r="G9" s="6">
        <v>2.2404999999999999</v>
      </c>
      <c r="H9" s="23">
        <v>0.185</v>
      </c>
      <c r="I9" s="23">
        <v>2.02</v>
      </c>
      <c r="J9" s="67">
        <v>1.7994999999999999</v>
      </c>
      <c r="K9" s="47">
        <v>56</v>
      </c>
      <c r="L9" s="3">
        <v>454</v>
      </c>
      <c r="M9" s="48">
        <v>2</v>
      </c>
      <c r="N9" s="71">
        <v>586</v>
      </c>
      <c r="P9" s="30">
        <f t="shared" si="0"/>
        <v>454</v>
      </c>
    </row>
    <row r="10" spans="1:16" ht="66" customHeight="1">
      <c r="A10" s="74">
        <v>101</v>
      </c>
      <c r="B10" s="83"/>
      <c r="C10" s="99" t="s">
        <v>49</v>
      </c>
      <c r="D10" s="100"/>
      <c r="E10" s="98" t="s">
        <v>50</v>
      </c>
      <c r="F10" s="85" t="s">
        <v>45</v>
      </c>
      <c r="G10" s="6">
        <v>5.0110000000000001</v>
      </c>
      <c r="H10" s="23">
        <v>0.38500000000000001</v>
      </c>
      <c r="I10" s="23">
        <v>4.63</v>
      </c>
      <c r="J10" s="67">
        <v>4.008</v>
      </c>
      <c r="K10" s="47">
        <v>84</v>
      </c>
      <c r="L10" s="3">
        <v>957</v>
      </c>
      <c r="M10" s="48">
        <v>1</v>
      </c>
      <c r="N10" s="71">
        <v>586</v>
      </c>
      <c r="P10" s="30">
        <f t="shared" si="0"/>
        <v>957</v>
      </c>
    </row>
    <row r="11" spans="1:16" ht="66" customHeight="1">
      <c r="A11" s="74">
        <v>101</v>
      </c>
      <c r="B11" s="83"/>
      <c r="C11" s="99" t="s">
        <v>51</v>
      </c>
      <c r="D11" s="100"/>
      <c r="E11" s="101" t="s">
        <v>52</v>
      </c>
      <c r="F11" s="88" t="s">
        <v>48</v>
      </c>
      <c r="G11" s="6">
        <v>5.508</v>
      </c>
      <c r="H11" s="23">
        <v>0.38</v>
      </c>
      <c r="I11" s="23">
        <v>4.63</v>
      </c>
      <c r="J11" s="67">
        <v>4.5060000000000002</v>
      </c>
      <c r="K11" s="47">
        <v>84</v>
      </c>
      <c r="L11" s="3">
        <v>1027</v>
      </c>
      <c r="M11" s="48">
        <v>1</v>
      </c>
      <c r="N11" s="71">
        <v>586</v>
      </c>
      <c r="P11" s="30">
        <f t="shared" si="0"/>
        <v>1027</v>
      </c>
    </row>
    <row r="12" spans="1:16" ht="66" customHeight="1">
      <c r="A12" s="74">
        <v>101</v>
      </c>
      <c r="B12" s="83"/>
      <c r="C12" s="99" t="s">
        <v>53</v>
      </c>
      <c r="D12" s="100"/>
      <c r="E12" s="102" t="s">
        <v>54</v>
      </c>
      <c r="F12" s="55" t="s">
        <v>55</v>
      </c>
      <c r="G12" s="6">
        <v>5.9670000000000005</v>
      </c>
      <c r="H12" s="23">
        <v>0.4</v>
      </c>
      <c r="I12" s="23">
        <v>4.9399999999999995</v>
      </c>
      <c r="J12" s="67">
        <v>4.8990000000000009</v>
      </c>
      <c r="K12" s="47">
        <v>88</v>
      </c>
      <c r="L12" s="3">
        <v>1103</v>
      </c>
      <c r="M12" s="48">
        <v>1</v>
      </c>
      <c r="N12" s="71">
        <v>586</v>
      </c>
      <c r="P12" s="30">
        <f t="shared" si="0"/>
        <v>1103</v>
      </c>
    </row>
    <row r="13" spans="1:16" ht="66" customHeight="1">
      <c r="A13" s="74">
        <v>101</v>
      </c>
      <c r="B13" s="103" t="s">
        <v>56</v>
      </c>
      <c r="C13" s="58" t="s">
        <v>57</v>
      </c>
      <c r="D13" s="57"/>
      <c r="E13" s="7" t="s">
        <v>58</v>
      </c>
      <c r="F13" s="55"/>
      <c r="G13" s="6">
        <v>0.89175000000000004</v>
      </c>
      <c r="H13" s="23">
        <v>0</v>
      </c>
      <c r="I13" s="23">
        <v>0</v>
      </c>
      <c r="J13" s="67">
        <v>0.89175000000000004</v>
      </c>
      <c r="K13" s="47">
        <v>0</v>
      </c>
      <c r="L13" s="3">
        <v>130</v>
      </c>
      <c r="M13" s="48">
        <v>4</v>
      </c>
      <c r="N13" s="22">
        <v>581</v>
      </c>
      <c r="P13" s="30">
        <f t="shared" ref="P13:P76" si="1">ROUND(L13,0)</f>
        <v>130</v>
      </c>
    </row>
    <row r="14" spans="1:16" ht="66" customHeight="1">
      <c r="A14" s="74">
        <v>101</v>
      </c>
      <c r="B14" s="7" t="s">
        <v>59</v>
      </c>
      <c r="C14" s="58" t="s">
        <v>60</v>
      </c>
      <c r="D14" s="104"/>
      <c r="E14" s="7" t="s">
        <v>61</v>
      </c>
      <c r="F14" s="105"/>
      <c r="G14" s="6">
        <v>0.82989999999999997</v>
      </c>
      <c r="H14" s="23">
        <v>4.65E-2</v>
      </c>
      <c r="I14" s="23">
        <v>0</v>
      </c>
      <c r="J14" s="67">
        <v>0.8206</v>
      </c>
      <c r="K14" s="47">
        <v>10</v>
      </c>
      <c r="L14" s="3">
        <v>170</v>
      </c>
      <c r="M14" s="48">
        <v>10</v>
      </c>
      <c r="N14" s="22">
        <v>581</v>
      </c>
      <c r="P14" s="30">
        <f t="shared" si="1"/>
        <v>170</v>
      </c>
    </row>
    <row r="15" spans="1:16" ht="66" customHeight="1">
      <c r="A15" s="74">
        <v>101</v>
      </c>
      <c r="B15" s="103" t="s">
        <v>62</v>
      </c>
      <c r="C15" s="58" t="s">
        <v>63</v>
      </c>
      <c r="D15" s="60"/>
      <c r="E15" s="86" t="s">
        <v>64</v>
      </c>
      <c r="F15" s="55"/>
      <c r="G15" s="6">
        <v>9.6170000000000009</v>
      </c>
      <c r="H15" s="23">
        <v>1.1400000000000001</v>
      </c>
      <c r="I15" s="23">
        <v>10.149999999999999</v>
      </c>
      <c r="J15" s="67">
        <v>7.3590000000000009</v>
      </c>
      <c r="K15" s="47">
        <v>346</v>
      </c>
      <c r="L15" s="3">
        <v>2974</v>
      </c>
      <c r="M15" s="48">
        <v>1</v>
      </c>
      <c r="N15" s="22">
        <v>581</v>
      </c>
      <c r="P15" s="30">
        <f t="shared" si="1"/>
        <v>2974</v>
      </c>
    </row>
    <row r="16" spans="1:16" ht="66" customHeight="1">
      <c r="A16" s="74">
        <v>101</v>
      </c>
      <c r="B16" s="103" t="s">
        <v>65</v>
      </c>
      <c r="C16" s="58" t="s">
        <v>66</v>
      </c>
      <c r="D16" s="59"/>
      <c r="E16" s="86" t="s">
        <v>64</v>
      </c>
      <c r="F16" s="106"/>
      <c r="G16" s="6">
        <v>9.3710000000000004</v>
      </c>
      <c r="H16" s="23">
        <v>1.1100000000000001</v>
      </c>
      <c r="I16" s="23">
        <v>10.52</v>
      </c>
      <c r="J16" s="67">
        <v>7.0450000000000008</v>
      </c>
      <c r="K16" s="47">
        <v>338</v>
      </c>
      <c r="L16" s="3">
        <v>2927</v>
      </c>
      <c r="M16" s="48">
        <v>1</v>
      </c>
      <c r="N16" s="22">
        <v>581</v>
      </c>
      <c r="P16" s="30">
        <f t="shared" si="1"/>
        <v>2927</v>
      </c>
    </row>
    <row r="17" spans="1:16" ht="66" customHeight="1">
      <c r="A17" s="74">
        <v>101</v>
      </c>
      <c r="B17" s="103"/>
      <c r="C17" s="107" t="s">
        <v>67</v>
      </c>
      <c r="D17" s="57"/>
      <c r="E17" s="108" t="s">
        <v>68</v>
      </c>
      <c r="F17" s="106"/>
      <c r="G17" s="6">
        <v>1.8556666666666668</v>
      </c>
      <c r="H17" s="23">
        <v>0.16</v>
      </c>
      <c r="I17" s="23">
        <v>0</v>
      </c>
      <c r="J17" s="67">
        <v>1.8236666666666668</v>
      </c>
      <c r="K17" s="47">
        <v>35</v>
      </c>
      <c r="L17" s="3">
        <v>450</v>
      </c>
      <c r="M17" s="48">
        <v>6</v>
      </c>
      <c r="N17" s="22">
        <v>589</v>
      </c>
      <c r="P17" s="30">
        <f t="shared" si="1"/>
        <v>450</v>
      </c>
    </row>
    <row r="18" spans="1:16" ht="66" customHeight="1">
      <c r="A18" s="74">
        <v>101</v>
      </c>
      <c r="B18" s="103"/>
      <c r="C18" s="109" t="s">
        <v>69</v>
      </c>
      <c r="D18" s="56"/>
      <c r="E18" s="110" t="s">
        <v>70</v>
      </c>
      <c r="F18" s="106"/>
      <c r="G18" s="6">
        <v>1.6290000000000002</v>
      </c>
      <c r="H18" s="23">
        <v>0.16166666666666665</v>
      </c>
      <c r="I18" s="23">
        <v>0</v>
      </c>
      <c r="J18" s="67">
        <v>1.5966666666666667</v>
      </c>
      <c r="K18" s="47">
        <v>51</v>
      </c>
      <c r="L18" s="3">
        <v>396</v>
      </c>
      <c r="M18" s="48">
        <v>6</v>
      </c>
      <c r="N18" s="22">
        <v>589</v>
      </c>
      <c r="P18" s="30">
        <f t="shared" si="1"/>
        <v>396</v>
      </c>
    </row>
    <row r="19" spans="1:16" ht="66" customHeight="1">
      <c r="A19" s="74">
        <v>101</v>
      </c>
      <c r="B19" s="103"/>
      <c r="C19" s="109" t="s">
        <v>71</v>
      </c>
      <c r="D19" s="59"/>
      <c r="E19" s="111" t="s">
        <v>72</v>
      </c>
      <c r="F19" s="112"/>
      <c r="G19" s="6">
        <v>1.4849999999999999</v>
      </c>
      <c r="H19" s="23">
        <v>0.17250000000000001</v>
      </c>
      <c r="I19" s="23">
        <v>0</v>
      </c>
      <c r="J19" s="67">
        <v>1.4504999999999999</v>
      </c>
      <c r="K19" s="47">
        <v>51</v>
      </c>
      <c r="L19" s="3">
        <v>382</v>
      </c>
      <c r="M19" s="48">
        <v>4</v>
      </c>
      <c r="N19" s="22">
        <v>589</v>
      </c>
      <c r="P19" s="30">
        <f t="shared" si="1"/>
        <v>382</v>
      </c>
    </row>
    <row r="20" spans="1:16" ht="66" customHeight="1">
      <c r="A20" s="74">
        <v>101</v>
      </c>
      <c r="B20" s="103"/>
      <c r="C20" s="113" t="s">
        <v>73</v>
      </c>
      <c r="D20" s="59"/>
      <c r="E20" s="111" t="s">
        <v>74</v>
      </c>
      <c r="F20" s="114"/>
      <c r="G20" s="6">
        <v>2.0949999999999998</v>
      </c>
      <c r="H20" s="23">
        <v>0.29000000000000004</v>
      </c>
      <c r="I20" s="23">
        <v>0</v>
      </c>
      <c r="J20" s="67">
        <v>2.0369999999999999</v>
      </c>
      <c r="K20" s="47">
        <v>79</v>
      </c>
      <c r="L20" s="3">
        <v>578</v>
      </c>
      <c r="M20" s="48">
        <v>2</v>
      </c>
      <c r="N20" s="22">
        <v>589</v>
      </c>
      <c r="P20" s="30">
        <f t="shared" si="1"/>
        <v>578</v>
      </c>
    </row>
    <row r="21" spans="1:16" ht="66" customHeight="1">
      <c r="A21" s="74">
        <v>101</v>
      </c>
      <c r="B21" s="7" t="s">
        <v>75</v>
      </c>
      <c r="C21" s="107" t="s">
        <v>76</v>
      </c>
      <c r="D21" s="72"/>
      <c r="E21" s="115" t="s">
        <v>77</v>
      </c>
      <c r="F21" s="116"/>
      <c r="G21" s="6">
        <v>2.444</v>
      </c>
      <c r="H21" s="23">
        <v>0.14000000000000001</v>
      </c>
      <c r="I21" s="23">
        <v>2.4299999999999997</v>
      </c>
      <c r="J21" s="67">
        <v>1.93</v>
      </c>
      <c r="K21" s="141">
        <v>41</v>
      </c>
      <c r="L21" s="3">
        <v>426</v>
      </c>
      <c r="M21" s="48">
        <v>1</v>
      </c>
      <c r="N21" s="22">
        <v>589</v>
      </c>
      <c r="P21" s="30">
        <f t="shared" si="1"/>
        <v>426</v>
      </c>
    </row>
    <row r="22" spans="1:16" ht="66" customHeight="1">
      <c r="A22" s="74">
        <v>101</v>
      </c>
      <c r="B22" s="86" t="s">
        <v>78</v>
      </c>
      <c r="C22" s="107" t="s">
        <v>79</v>
      </c>
      <c r="D22" s="56"/>
      <c r="E22" s="115" t="s">
        <v>77</v>
      </c>
      <c r="F22" s="117"/>
      <c r="G22" s="67">
        <v>2.5960000000000001</v>
      </c>
      <c r="H22" s="23">
        <v>0.13500000000000001</v>
      </c>
      <c r="I22" s="23">
        <v>3.17</v>
      </c>
      <c r="J22" s="140">
        <v>1.9350000000000001</v>
      </c>
      <c r="K22" s="142">
        <v>38</v>
      </c>
      <c r="L22" s="73">
        <v>422</v>
      </c>
      <c r="M22" s="49">
        <v>1</v>
      </c>
      <c r="N22" s="22">
        <v>589</v>
      </c>
      <c r="P22" s="30">
        <f t="shared" si="1"/>
        <v>422</v>
      </c>
    </row>
    <row r="23" spans="1:16" ht="66" customHeight="1">
      <c r="A23" s="74">
        <v>101</v>
      </c>
      <c r="B23" s="86" t="s">
        <v>80</v>
      </c>
      <c r="C23" s="107" t="s">
        <v>81</v>
      </c>
      <c r="D23" s="58"/>
      <c r="E23" s="115" t="s">
        <v>77</v>
      </c>
      <c r="F23" s="88"/>
      <c r="G23" s="67">
        <v>2.202</v>
      </c>
      <c r="H23" s="23">
        <v>0.13500000000000001</v>
      </c>
      <c r="I23" s="23">
        <v>1.75</v>
      </c>
      <c r="J23" s="140">
        <v>1.825</v>
      </c>
      <c r="K23" s="142">
        <v>37</v>
      </c>
      <c r="L23" s="73">
        <v>402</v>
      </c>
      <c r="M23" s="48">
        <v>1</v>
      </c>
      <c r="N23" s="22">
        <v>589</v>
      </c>
      <c r="P23" s="30">
        <f t="shared" si="1"/>
        <v>402</v>
      </c>
    </row>
    <row r="24" spans="1:16" ht="66" customHeight="1">
      <c r="A24" s="74">
        <v>101</v>
      </c>
      <c r="B24" s="86" t="s">
        <v>82</v>
      </c>
      <c r="C24" s="107" t="s">
        <v>83</v>
      </c>
      <c r="D24" s="58"/>
      <c r="E24" s="115" t="s">
        <v>77</v>
      </c>
      <c r="F24" s="106"/>
      <c r="G24" s="67">
        <v>2.4470000000000001</v>
      </c>
      <c r="H24" s="23">
        <v>0.14000000000000001</v>
      </c>
      <c r="I24" s="23">
        <v>2.38</v>
      </c>
      <c r="J24" s="140">
        <v>1.9430000000000001</v>
      </c>
      <c r="K24" s="142">
        <v>41</v>
      </c>
      <c r="L24" s="73">
        <v>428</v>
      </c>
      <c r="M24" s="48">
        <v>1</v>
      </c>
      <c r="N24" s="22">
        <v>589</v>
      </c>
      <c r="P24" s="30">
        <f t="shared" si="1"/>
        <v>428</v>
      </c>
    </row>
    <row r="25" spans="1:16" ht="66" customHeight="1">
      <c r="A25" s="74">
        <v>101</v>
      </c>
      <c r="B25" s="86" t="s">
        <v>84</v>
      </c>
      <c r="C25" s="107" t="s">
        <v>85</v>
      </c>
      <c r="D25" s="59"/>
      <c r="E25" s="115" t="s">
        <v>86</v>
      </c>
      <c r="F25" s="81"/>
      <c r="G25" s="67">
        <v>7.1740000000000004</v>
      </c>
      <c r="H25" s="23">
        <v>0.69000000000000006</v>
      </c>
      <c r="I25" s="23">
        <v>12.940000000000001</v>
      </c>
      <c r="J25" s="140">
        <v>4.4480000000000004</v>
      </c>
      <c r="K25" s="142">
        <v>212</v>
      </c>
      <c r="L25" s="73">
        <v>1368</v>
      </c>
      <c r="M25" s="48">
        <v>1</v>
      </c>
      <c r="N25" s="22">
        <v>589</v>
      </c>
      <c r="P25" s="30">
        <f t="shared" si="1"/>
        <v>1368</v>
      </c>
    </row>
    <row r="26" spans="1:16" ht="66" customHeight="1">
      <c r="A26" s="74">
        <v>101</v>
      </c>
      <c r="B26" s="86" t="s">
        <v>87</v>
      </c>
      <c r="C26" s="107" t="s">
        <v>88</v>
      </c>
      <c r="D26" s="56"/>
      <c r="E26" s="115" t="s">
        <v>86</v>
      </c>
      <c r="F26" s="118"/>
      <c r="G26" s="67">
        <v>6.6920000000000002</v>
      </c>
      <c r="H26" s="23">
        <v>0.71499999999999997</v>
      </c>
      <c r="I26" s="23">
        <v>11.51</v>
      </c>
      <c r="J26" s="67">
        <v>4.2469999999999999</v>
      </c>
      <c r="K26" s="45">
        <v>220</v>
      </c>
      <c r="L26" s="3">
        <v>1360</v>
      </c>
      <c r="M26" s="48">
        <v>1</v>
      </c>
      <c r="N26" s="22">
        <v>589</v>
      </c>
      <c r="P26" s="30">
        <f t="shared" si="1"/>
        <v>1360</v>
      </c>
    </row>
    <row r="27" spans="1:16" ht="66" customHeight="1">
      <c r="A27" s="74">
        <v>101</v>
      </c>
      <c r="B27" s="86" t="s">
        <v>89</v>
      </c>
      <c r="C27" s="107" t="s">
        <v>90</v>
      </c>
      <c r="D27" s="59"/>
      <c r="E27" s="115" t="s">
        <v>86</v>
      </c>
      <c r="F27" s="55"/>
      <c r="G27" s="67">
        <v>6.3940000000000001</v>
      </c>
      <c r="H27" s="23">
        <v>0.65500000000000003</v>
      </c>
      <c r="I27" s="23">
        <v>10.125</v>
      </c>
      <c r="J27" s="67">
        <v>4.2380000000000004</v>
      </c>
      <c r="K27" s="47">
        <v>200</v>
      </c>
      <c r="L27" s="3">
        <v>1295</v>
      </c>
      <c r="M27" s="48">
        <v>1</v>
      </c>
      <c r="N27" s="22">
        <v>589</v>
      </c>
      <c r="P27" s="30">
        <f t="shared" si="1"/>
        <v>1295</v>
      </c>
    </row>
    <row r="28" spans="1:16" ht="66" customHeight="1">
      <c r="A28" s="74">
        <v>101</v>
      </c>
      <c r="B28" s="86" t="s">
        <v>91</v>
      </c>
      <c r="C28" s="107" t="s">
        <v>92</v>
      </c>
      <c r="D28" s="55"/>
      <c r="E28" s="115" t="s">
        <v>77</v>
      </c>
      <c r="F28" s="119"/>
      <c r="G28" s="67">
        <v>3.7359999999999998</v>
      </c>
      <c r="H28" s="23">
        <v>0.16500000000000001</v>
      </c>
      <c r="I28" s="23">
        <v>8.27</v>
      </c>
      <c r="J28" s="67">
        <v>2.0489999999999999</v>
      </c>
      <c r="K28" s="47">
        <v>53</v>
      </c>
      <c r="L28" s="3">
        <v>479</v>
      </c>
      <c r="M28" s="48">
        <v>1</v>
      </c>
      <c r="N28" s="22">
        <v>589</v>
      </c>
      <c r="P28" s="30">
        <f t="shared" si="1"/>
        <v>479</v>
      </c>
    </row>
    <row r="29" spans="1:16" ht="66" customHeight="1">
      <c r="A29" s="74">
        <v>101</v>
      </c>
      <c r="B29" s="86" t="s">
        <v>93</v>
      </c>
      <c r="C29" s="107" t="s">
        <v>94</v>
      </c>
      <c r="D29" s="56"/>
      <c r="E29" s="115" t="s">
        <v>77</v>
      </c>
      <c r="F29" s="120"/>
      <c r="G29" s="67">
        <v>3.3820000000000001</v>
      </c>
      <c r="H29" s="23">
        <v>0.16</v>
      </c>
      <c r="I29" s="23">
        <v>6.6950000000000003</v>
      </c>
      <c r="J29" s="67">
        <v>2.0110000000000001</v>
      </c>
      <c r="K29" s="47">
        <v>53</v>
      </c>
      <c r="L29" s="3">
        <v>468</v>
      </c>
      <c r="M29" s="48">
        <v>1</v>
      </c>
      <c r="N29" s="22">
        <v>589</v>
      </c>
      <c r="P29" s="30">
        <f t="shared" si="1"/>
        <v>468</v>
      </c>
    </row>
    <row r="30" spans="1:16" ht="66" customHeight="1">
      <c r="A30" s="74">
        <v>101</v>
      </c>
      <c r="B30" s="86" t="s">
        <v>95</v>
      </c>
      <c r="C30" s="107" t="s">
        <v>96</v>
      </c>
      <c r="D30" s="56"/>
      <c r="E30" s="115" t="s">
        <v>77</v>
      </c>
      <c r="F30" s="121"/>
      <c r="G30" s="67">
        <v>3.8159999999999998</v>
      </c>
      <c r="H30" s="23">
        <v>0.17</v>
      </c>
      <c r="I30" s="23">
        <v>8.06</v>
      </c>
      <c r="J30" s="67">
        <v>2.17</v>
      </c>
      <c r="K30" s="47">
        <v>53</v>
      </c>
      <c r="L30" s="3">
        <v>501</v>
      </c>
      <c r="M30" s="49">
        <v>1</v>
      </c>
      <c r="N30" s="22">
        <v>589</v>
      </c>
      <c r="P30" s="30">
        <f t="shared" si="1"/>
        <v>501</v>
      </c>
    </row>
    <row r="31" spans="1:16" ht="66" customHeight="1">
      <c r="A31" s="74">
        <v>101</v>
      </c>
      <c r="B31" s="86" t="s">
        <v>97</v>
      </c>
      <c r="C31" s="107" t="s">
        <v>98</v>
      </c>
      <c r="D31" s="59"/>
      <c r="E31" s="115" t="s">
        <v>77</v>
      </c>
      <c r="F31" s="122"/>
      <c r="G31" s="67">
        <v>3.7069999999999999</v>
      </c>
      <c r="H31" s="23">
        <v>0.16500000000000001</v>
      </c>
      <c r="I31" s="23">
        <v>8.1750000000000007</v>
      </c>
      <c r="J31" s="67">
        <v>2.0389999999999997</v>
      </c>
      <c r="K31" s="47">
        <v>53</v>
      </c>
      <c r="L31" s="3">
        <v>478</v>
      </c>
      <c r="M31" s="49">
        <v>1</v>
      </c>
      <c r="N31" s="22">
        <v>589</v>
      </c>
      <c r="P31" s="30">
        <f t="shared" si="1"/>
        <v>478</v>
      </c>
    </row>
    <row r="32" spans="1:16" ht="66" customHeight="1">
      <c r="A32" s="74">
        <v>101</v>
      </c>
      <c r="B32" s="86" t="s">
        <v>99</v>
      </c>
      <c r="C32" s="107" t="s">
        <v>100</v>
      </c>
      <c r="D32" s="59"/>
      <c r="E32" s="123" t="s">
        <v>101</v>
      </c>
      <c r="F32" s="124"/>
      <c r="G32" s="67">
        <v>2.532</v>
      </c>
      <c r="H32" s="23">
        <v>0.14000000000000001</v>
      </c>
      <c r="I32" s="23">
        <v>2</v>
      </c>
      <c r="J32" s="67">
        <v>2.1040000000000001</v>
      </c>
      <c r="K32" s="47">
        <v>45</v>
      </c>
      <c r="L32" s="3">
        <v>527</v>
      </c>
      <c r="M32" s="49">
        <v>1</v>
      </c>
      <c r="N32" s="22">
        <v>589</v>
      </c>
      <c r="P32" s="30">
        <f t="shared" si="1"/>
        <v>527</v>
      </c>
    </row>
    <row r="33" spans="1:16" ht="66" customHeight="1">
      <c r="A33" s="74">
        <v>101</v>
      </c>
      <c r="B33" s="86" t="s">
        <v>102</v>
      </c>
      <c r="C33" s="107" t="s">
        <v>103</v>
      </c>
      <c r="D33" s="56"/>
      <c r="E33" s="123" t="s">
        <v>101</v>
      </c>
      <c r="F33" s="125"/>
      <c r="G33" s="67">
        <v>2.8920000000000003</v>
      </c>
      <c r="H33" s="23">
        <v>0.17</v>
      </c>
      <c r="I33" s="23">
        <v>3.11</v>
      </c>
      <c r="J33" s="67">
        <v>2.2360000000000007</v>
      </c>
      <c r="K33" s="47">
        <v>51</v>
      </c>
      <c r="L33" s="3">
        <v>617</v>
      </c>
      <c r="M33" s="48">
        <v>1</v>
      </c>
      <c r="N33" s="22">
        <v>589</v>
      </c>
      <c r="P33" s="30">
        <f t="shared" si="1"/>
        <v>617</v>
      </c>
    </row>
    <row r="34" spans="1:16" ht="66" customHeight="1">
      <c r="A34" s="74">
        <v>101</v>
      </c>
      <c r="B34" s="86" t="s">
        <v>104</v>
      </c>
      <c r="C34" s="107" t="s">
        <v>105</v>
      </c>
      <c r="D34" s="55"/>
      <c r="E34" s="123" t="s">
        <v>101</v>
      </c>
      <c r="F34" s="126"/>
      <c r="G34" s="67">
        <v>2.839</v>
      </c>
      <c r="H34" s="23">
        <v>0.14500000000000002</v>
      </c>
      <c r="I34" s="23">
        <v>3.3250000000000002</v>
      </c>
      <c r="J34" s="67">
        <v>2.145</v>
      </c>
      <c r="K34" s="47">
        <v>45</v>
      </c>
      <c r="L34" s="3">
        <v>589</v>
      </c>
      <c r="M34" s="7">
        <v>1</v>
      </c>
      <c r="N34" s="22">
        <v>589</v>
      </c>
      <c r="P34" s="30">
        <f t="shared" si="1"/>
        <v>589</v>
      </c>
    </row>
    <row r="35" spans="1:16" ht="66" customHeight="1">
      <c r="A35" s="74">
        <v>101</v>
      </c>
      <c r="B35" s="86" t="s">
        <v>106</v>
      </c>
      <c r="C35" s="107" t="s">
        <v>107</v>
      </c>
      <c r="D35" s="59"/>
      <c r="E35" s="123" t="s">
        <v>101</v>
      </c>
      <c r="F35" s="127"/>
      <c r="G35" s="67">
        <v>2.6849999999999996</v>
      </c>
      <c r="H35" s="23">
        <v>0.155</v>
      </c>
      <c r="I35" s="23">
        <v>2.4950000000000001</v>
      </c>
      <c r="J35" s="67">
        <v>2.1549999999999994</v>
      </c>
      <c r="K35" s="47">
        <v>48</v>
      </c>
      <c r="L35" s="3">
        <v>568</v>
      </c>
      <c r="M35" s="7">
        <v>1</v>
      </c>
      <c r="N35" s="22">
        <v>589</v>
      </c>
      <c r="P35" s="30">
        <f t="shared" si="1"/>
        <v>568</v>
      </c>
    </row>
    <row r="36" spans="1:16" ht="66" customHeight="1">
      <c r="A36" s="74">
        <v>101</v>
      </c>
      <c r="B36" s="86" t="s">
        <v>108</v>
      </c>
      <c r="C36" s="107" t="s">
        <v>109</v>
      </c>
      <c r="D36" s="56"/>
      <c r="E36" s="128" t="s">
        <v>110</v>
      </c>
      <c r="F36" s="55"/>
      <c r="G36" s="67">
        <v>5.34</v>
      </c>
      <c r="H36" s="23">
        <v>0.78</v>
      </c>
      <c r="I36" s="23">
        <v>4.49</v>
      </c>
      <c r="J36" s="67">
        <v>4.2859999999999996</v>
      </c>
      <c r="K36" s="47">
        <v>235</v>
      </c>
      <c r="L36" s="3">
        <v>1577</v>
      </c>
      <c r="M36" s="7">
        <v>1</v>
      </c>
      <c r="N36" s="22">
        <v>589</v>
      </c>
      <c r="P36" s="30">
        <f t="shared" si="1"/>
        <v>1577</v>
      </c>
    </row>
    <row r="37" spans="1:16" ht="66" customHeight="1">
      <c r="A37" s="74">
        <v>101</v>
      </c>
      <c r="B37" s="86" t="s">
        <v>111</v>
      </c>
      <c r="C37" s="107" t="s">
        <v>112</v>
      </c>
      <c r="D37" s="56"/>
      <c r="E37" s="128" t="s">
        <v>110</v>
      </c>
      <c r="F37" s="127"/>
      <c r="G37" s="67">
        <v>5.7569999999999997</v>
      </c>
      <c r="H37" s="23">
        <v>0.81500000000000006</v>
      </c>
      <c r="I37" s="23">
        <v>4.83</v>
      </c>
      <c r="J37" s="67">
        <v>4.6280000000000001</v>
      </c>
      <c r="K37" s="47">
        <v>248</v>
      </c>
      <c r="L37" s="3">
        <v>1677</v>
      </c>
      <c r="M37" s="7">
        <v>1</v>
      </c>
      <c r="N37" s="22">
        <v>589</v>
      </c>
      <c r="P37" s="30">
        <f t="shared" si="1"/>
        <v>1677</v>
      </c>
    </row>
    <row r="38" spans="1:16" ht="66" customHeight="1">
      <c r="A38" s="74">
        <v>101</v>
      </c>
      <c r="B38" s="86" t="s">
        <v>113</v>
      </c>
      <c r="C38" s="107" t="s">
        <v>114</v>
      </c>
      <c r="D38" s="56"/>
      <c r="E38" s="128" t="s">
        <v>110</v>
      </c>
      <c r="F38" s="129"/>
      <c r="G38" s="67">
        <v>5.3680000000000003</v>
      </c>
      <c r="H38" s="23">
        <v>0.77</v>
      </c>
      <c r="I38" s="23">
        <v>4.2949999999999999</v>
      </c>
      <c r="J38" s="67">
        <v>4.3550000000000004</v>
      </c>
      <c r="K38" s="47">
        <v>235</v>
      </c>
      <c r="L38" s="3">
        <v>1573</v>
      </c>
      <c r="M38" s="7">
        <v>1</v>
      </c>
      <c r="N38" s="22">
        <v>589</v>
      </c>
      <c r="P38" s="30">
        <f t="shared" si="1"/>
        <v>1573</v>
      </c>
    </row>
    <row r="39" spans="1:16" ht="66" customHeight="1">
      <c r="A39" s="74">
        <v>101</v>
      </c>
      <c r="B39" s="86" t="s">
        <v>115</v>
      </c>
      <c r="C39" s="107" t="s">
        <v>116</v>
      </c>
      <c r="D39" s="56"/>
      <c r="E39" s="128" t="s">
        <v>110</v>
      </c>
      <c r="F39" s="81"/>
      <c r="G39" s="67">
        <v>5.5150000000000006</v>
      </c>
      <c r="H39" s="23">
        <v>0.77500000000000002</v>
      </c>
      <c r="I39" s="23">
        <v>3.83</v>
      </c>
      <c r="J39" s="67">
        <v>4.5940000000000003</v>
      </c>
      <c r="K39" s="47">
        <v>234</v>
      </c>
      <c r="L39" s="3">
        <v>1592</v>
      </c>
      <c r="M39" s="7">
        <v>1</v>
      </c>
      <c r="N39" s="22">
        <v>589</v>
      </c>
      <c r="P39" s="30">
        <f t="shared" si="1"/>
        <v>1592</v>
      </c>
    </row>
    <row r="40" spans="1:16" ht="66" customHeight="1">
      <c r="A40" s="74">
        <v>101</v>
      </c>
      <c r="B40" s="86" t="s">
        <v>117</v>
      </c>
      <c r="C40" s="107" t="s">
        <v>118</v>
      </c>
      <c r="D40" s="56"/>
      <c r="E40" s="130" t="s">
        <v>119</v>
      </c>
      <c r="F40" s="131"/>
      <c r="G40" s="67">
        <v>2.5790000000000002</v>
      </c>
      <c r="H40" s="23">
        <v>0.125</v>
      </c>
      <c r="I40" s="23">
        <v>3.84</v>
      </c>
      <c r="J40" s="67">
        <v>1.7860000000000003</v>
      </c>
      <c r="K40" s="47">
        <v>38</v>
      </c>
      <c r="L40" s="3">
        <v>410</v>
      </c>
      <c r="M40" s="7">
        <v>1</v>
      </c>
      <c r="N40" s="22">
        <v>589</v>
      </c>
      <c r="P40" s="30">
        <f t="shared" si="1"/>
        <v>410</v>
      </c>
    </row>
    <row r="41" spans="1:16" ht="66" customHeight="1">
      <c r="A41" s="74">
        <v>101</v>
      </c>
      <c r="B41" s="86" t="s">
        <v>120</v>
      </c>
      <c r="C41" s="107" t="s">
        <v>121</v>
      </c>
      <c r="D41" s="56"/>
      <c r="E41" s="132" t="s">
        <v>119</v>
      </c>
      <c r="F41" s="127"/>
      <c r="G41" s="67">
        <v>2.6840000000000002</v>
      </c>
      <c r="H41" s="23">
        <v>0.13</v>
      </c>
      <c r="I41" s="23">
        <v>3.9000000000000004</v>
      </c>
      <c r="J41" s="67">
        <v>1.8780000000000001</v>
      </c>
      <c r="K41" s="47">
        <v>39</v>
      </c>
      <c r="L41" s="3">
        <v>428</v>
      </c>
      <c r="M41" s="7">
        <v>1</v>
      </c>
      <c r="N41" s="22">
        <v>589</v>
      </c>
      <c r="P41" s="30">
        <f t="shared" si="1"/>
        <v>428</v>
      </c>
    </row>
    <row r="42" spans="1:16" ht="66" customHeight="1">
      <c r="A42" s="74">
        <v>101</v>
      </c>
      <c r="B42" s="86" t="s">
        <v>122</v>
      </c>
      <c r="C42" s="107" t="s">
        <v>123</v>
      </c>
      <c r="D42" s="59"/>
      <c r="E42" s="128" t="s">
        <v>119</v>
      </c>
      <c r="F42" s="133"/>
      <c r="G42" s="67">
        <v>2.617</v>
      </c>
      <c r="H42" s="23">
        <v>0.11499999999999999</v>
      </c>
      <c r="I42" s="23">
        <v>3.875</v>
      </c>
      <c r="J42" s="67">
        <v>1.819</v>
      </c>
      <c r="K42" s="47">
        <v>36</v>
      </c>
      <c r="L42" s="3">
        <v>406</v>
      </c>
      <c r="M42" s="7">
        <v>1</v>
      </c>
      <c r="N42" s="22">
        <v>589</v>
      </c>
      <c r="P42" s="30">
        <f t="shared" si="1"/>
        <v>406</v>
      </c>
    </row>
    <row r="43" spans="1:16" ht="66" customHeight="1">
      <c r="A43" s="74">
        <v>101</v>
      </c>
      <c r="B43" s="86" t="s">
        <v>124</v>
      </c>
      <c r="C43" s="107" t="s">
        <v>125</v>
      </c>
      <c r="D43" s="56"/>
      <c r="E43" s="134" t="s">
        <v>126</v>
      </c>
      <c r="F43" s="135"/>
      <c r="G43" s="67">
        <v>3.4350000000000001</v>
      </c>
      <c r="H43" s="23">
        <v>0.16</v>
      </c>
      <c r="I43" s="23">
        <v>0</v>
      </c>
      <c r="J43" s="67">
        <v>3.403</v>
      </c>
      <c r="K43" s="47">
        <v>49</v>
      </c>
      <c r="L43" s="3">
        <v>657</v>
      </c>
      <c r="M43" s="7">
        <v>1</v>
      </c>
      <c r="N43" s="22">
        <v>589</v>
      </c>
      <c r="P43" s="30">
        <f t="shared" si="1"/>
        <v>657</v>
      </c>
    </row>
    <row r="44" spans="1:16" ht="66" customHeight="1">
      <c r="A44" s="74">
        <v>101</v>
      </c>
      <c r="B44" s="86" t="s">
        <v>127</v>
      </c>
      <c r="C44" s="107" t="s">
        <v>128</v>
      </c>
      <c r="D44" s="56"/>
      <c r="E44" s="134" t="s">
        <v>129</v>
      </c>
      <c r="F44" s="88"/>
      <c r="G44" s="67">
        <v>3.1779999999999999</v>
      </c>
      <c r="H44" s="23">
        <v>0.16</v>
      </c>
      <c r="I44" s="23">
        <v>0</v>
      </c>
      <c r="J44" s="67">
        <v>3.1459999999999999</v>
      </c>
      <c r="K44" s="47">
        <v>49</v>
      </c>
      <c r="L44" s="3">
        <v>619</v>
      </c>
      <c r="M44" s="7">
        <v>1</v>
      </c>
      <c r="N44" s="22">
        <v>589</v>
      </c>
      <c r="P44" s="30">
        <f t="shared" si="1"/>
        <v>619</v>
      </c>
    </row>
    <row r="45" spans="1:16" ht="66" customHeight="1">
      <c r="A45" s="74">
        <v>101</v>
      </c>
      <c r="B45" s="86" t="s">
        <v>130</v>
      </c>
      <c r="C45" s="107" t="s">
        <v>131</v>
      </c>
      <c r="D45" s="59"/>
      <c r="E45" s="132" t="s">
        <v>132</v>
      </c>
      <c r="F45" s="127"/>
      <c r="G45" s="67">
        <v>2.00325</v>
      </c>
      <c r="H45" s="23">
        <v>0</v>
      </c>
      <c r="I45" s="23">
        <v>0.18</v>
      </c>
      <c r="J45" s="67">
        <v>1.9672499999999999</v>
      </c>
      <c r="K45" s="47">
        <v>35</v>
      </c>
      <c r="L45" s="3">
        <v>375</v>
      </c>
      <c r="M45" s="7">
        <v>4</v>
      </c>
      <c r="N45" s="22">
        <v>589</v>
      </c>
      <c r="P45" s="30">
        <f t="shared" si="1"/>
        <v>375</v>
      </c>
    </row>
    <row r="46" spans="1:16" ht="66" customHeight="1">
      <c r="A46" s="74">
        <v>101</v>
      </c>
      <c r="B46" s="103"/>
      <c r="C46" s="7" t="s">
        <v>133</v>
      </c>
      <c r="D46" s="66"/>
      <c r="E46" s="128" t="s">
        <v>134</v>
      </c>
      <c r="F46" s="106"/>
      <c r="G46" s="67">
        <v>0.92666666666666675</v>
      </c>
      <c r="H46" s="23">
        <v>0.19333333333333336</v>
      </c>
      <c r="I46" s="23">
        <v>0</v>
      </c>
      <c r="J46" s="67">
        <v>0.88800000000000001</v>
      </c>
      <c r="K46" s="47">
        <v>68</v>
      </c>
      <c r="L46" s="3">
        <v>490</v>
      </c>
      <c r="M46" s="7">
        <v>3</v>
      </c>
      <c r="N46" s="22">
        <v>588</v>
      </c>
      <c r="P46" s="30">
        <f t="shared" si="1"/>
        <v>490</v>
      </c>
    </row>
    <row r="47" spans="1:16" ht="66" customHeight="1">
      <c r="A47" s="74">
        <v>101</v>
      </c>
      <c r="B47" s="103"/>
      <c r="C47" s="7" t="s">
        <v>135</v>
      </c>
      <c r="D47" s="136"/>
      <c r="E47" s="132" t="s">
        <v>136</v>
      </c>
      <c r="F47" s="137"/>
      <c r="G47" s="67">
        <v>1.3393333333333333</v>
      </c>
      <c r="H47" s="23">
        <v>0.27166666666666667</v>
      </c>
      <c r="I47" s="23">
        <v>0</v>
      </c>
      <c r="J47" s="67">
        <v>1.2849999999999999</v>
      </c>
      <c r="K47" s="47">
        <v>99</v>
      </c>
      <c r="L47" s="3">
        <v>735</v>
      </c>
      <c r="M47" s="7">
        <v>3</v>
      </c>
      <c r="N47" s="22">
        <v>588</v>
      </c>
      <c r="P47" s="30">
        <f t="shared" si="1"/>
        <v>735</v>
      </c>
    </row>
    <row r="48" spans="1:16" ht="66" customHeight="1">
      <c r="A48" s="74">
        <v>101</v>
      </c>
      <c r="B48" s="103"/>
      <c r="C48" s="7" t="s">
        <v>137</v>
      </c>
      <c r="D48" s="66"/>
      <c r="E48" s="138" t="s">
        <v>138</v>
      </c>
      <c r="F48" s="88"/>
      <c r="G48" s="67">
        <v>0.65733333333333333</v>
      </c>
      <c r="H48" s="23">
        <v>0.13333333333333333</v>
      </c>
      <c r="I48" s="23">
        <v>0</v>
      </c>
      <c r="J48" s="67">
        <v>0.6306666666666666</v>
      </c>
      <c r="K48" s="47">
        <v>48</v>
      </c>
      <c r="L48" s="3">
        <v>367</v>
      </c>
      <c r="M48" s="7">
        <v>3</v>
      </c>
      <c r="N48" s="22">
        <v>588</v>
      </c>
      <c r="P48" s="30">
        <f t="shared" si="1"/>
        <v>367</v>
      </c>
    </row>
    <row r="49" spans="1:16" ht="66" customHeight="1">
      <c r="A49" s="74">
        <v>101</v>
      </c>
      <c r="B49" s="103"/>
      <c r="C49" s="7" t="s">
        <v>139</v>
      </c>
      <c r="D49" s="136"/>
      <c r="E49" s="132" t="s">
        <v>140</v>
      </c>
      <c r="F49" s="139"/>
      <c r="G49" s="67">
        <v>0.89733333333333343</v>
      </c>
      <c r="H49" s="23">
        <v>0.20666666666666667</v>
      </c>
      <c r="I49" s="23">
        <v>0</v>
      </c>
      <c r="J49" s="67">
        <v>0.85599999999999998</v>
      </c>
      <c r="K49" s="47">
        <v>75</v>
      </c>
      <c r="L49" s="3">
        <v>553</v>
      </c>
      <c r="M49" s="7">
        <v>3</v>
      </c>
      <c r="N49" s="22">
        <v>588</v>
      </c>
      <c r="P49" s="30">
        <f t="shared" si="1"/>
        <v>553</v>
      </c>
    </row>
    <row r="50" spans="1:16" ht="66" customHeight="1">
      <c r="A50" s="43"/>
      <c r="B50" s="65"/>
      <c r="C50" s="44"/>
      <c r="D50" s="56"/>
      <c r="E50" s="46"/>
      <c r="F50" s="40"/>
      <c r="G50" s="6"/>
      <c r="H50" s="6"/>
      <c r="I50" s="6"/>
      <c r="J50" s="6"/>
      <c r="K50" s="63"/>
      <c r="L50" s="3"/>
      <c r="M50" s="7"/>
      <c r="N50" s="22"/>
      <c r="P50" s="30">
        <f t="shared" si="1"/>
        <v>0</v>
      </c>
    </row>
    <row r="51" spans="1:16" ht="66" customHeight="1">
      <c r="A51" s="43"/>
      <c r="B51" s="38"/>
      <c r="C51" s="44"/>
      <c r="D51" s="55"/>
      <c r="E51" s="46"/>
      <c r="F51" s="41"/>
      <c r="G51" s="6"/>
      <c r="H51" s="6"/>
      <c r="I51" s="6"/>
      <c r="J51" s="6"/>
      <c r="K51" s="63"/>
      <c r="L51" s="3"/>
      <c r="M51" s="7"/>
      <c r="N51" s="22"/>
      <c r="P51" s="30">
        <f t="shared" si="1"/>
        <v>0</v>
      </c>
    </row>
    <row r="52" spans="1:16" ht="66" customHeight="1">
      <c r="A52" s="43"/>
      <c r="B52" s="38"/>
      <c r="C52" s="44"/>
      <c r="D52" s="59"/>
      <c r="E52" s="46"/>
      <c r="F52" s="42"/>
      <c r="G52" s="6"/>
      <c r="H52" s="6"/>
      <c r="I52" s="6"/>
      <c r="J52" s="6"/>
      <c r="K52" s="63"/>
      <c r="L52" s="3"/>
      <c r="M52" s="7"/>
      <c r="N52" s="22"/>
      <c r="P52" s="30">
        <f t="shared" si="1"/>
        <v>0</v>
      </c>
    </row>
    <row r="53" spans="1:16" ht="66" customHeight="1">
      <c r="A53" s="43"/>
      <c r="B53" s="50"/>
      <c r="C53" s="44"/>
      <c r="D53" s="56"/>
      <c r="E53" s="46"/>
      <c r="F53" s="42"/>
      <c r="G53" s="6"/>
      <c r="H53" s="6"/>
      <c r="I53" s="6"/>
      <c r="J53" s="6"/>
      <c r="K53" s="63"/>
      <c r="L53" s="3"/>
      <c r="M53" s="7"/>
      <c r="N53" s="22"/>
      <c r="P53" s="30">
        <f t="shared" si="1"/>
        <v>0</v>
      </c>
    </row>
    <row r="54" spans="1:16" ht="66" customHeight="1">
      <c r="A54" s="43"/>
      <c r="B54" s="51"/>
      <c r="C54" s="44"/>
      <c r="D54" s="56"/>
      <c r="E54" s="5"/>
      <c r="F54" s="42"/>
      <c r="G54" s="6"/>
      <c r="H54" s="6"/>
      <c r="I54" s="6"/>
      <c r="J54" s="6"/>
      <c r="K54" s="63"/>
      <c r="L54" s="3"/>
      <c r="M54" s="7"/>
      <c r="N54" s="22"/>
      <c r="P54" s="30">
        <f t="shared" si="1"/>
        <v>0</v>
      </c>
    </row>
    <row r="55" spans="1:16" ht="66" customHeight="1">
      <c r="A55" s="43"/>
      <c r="B55" s="50"/>
      <c r="C55" s="44"/>
      <c r="D55" s="56"/>
      <c r="E55" s="5"/>
      <c r="F55" s="41"/>
      <c r="G55" s="6"/>
      <c r="H55" s="6"/>
      <c r="I55" s="6"/>
      <c r="J55" s="6"/>
      <c r="K55" s="63"/>
      <c r="L55" s="3"/>
      <c r="M55" s="7"/>
      <c r="N55" s="22"/>
      <c r="P55" s="30">
        <f t="shared" si="1"/>
        <v>0</v>
      </c>
    </row>
    <row r="56" spans="1:16" ht="66" customHeight="1">
      <c r="A56" s="43"/>
      <c r="B56" s="51"/>
      <c r="C56" s="44"/>
      <c r="D56" s="66"/>
      <c r="E56" s="46"/>
      <c r="F56" s="42"/>
      <c r="G56" s="6"/>
      <c r="H56" s="6"/>
      <c r="I56" s="6"/>
      <c r="J56" s="6"/>
      <c r="K56" s="63"/>
      <c r="L56" s="3"/>
      <c r="M56" s="7"/>
      <c r="N56" s="22"/>
      <c r="P56" s="30">
        <f t="shared" si="1"/>
        <v>0</v>
      </c>
    </row>
    <row r="57" spans="1:16" ht="66" customHeight="1">
      <c r="A57" s="43"/>
      <c r="B57" s="50"/>
      <c r="C57" s="44"/>
      <c r="D57" s="56"/>
      <c r="E57" s="46"/>
      <c r="F57" s="42"/>
      <c r="G57" s="6"/>
      <c r="H57" s="6"/>
      <c r="I57" s="6"/>
      <c r="J57" s="6"/>
      <c r="K57" s="63"/>
      <c r="L57" s="3"/>
      <c r="M57" s="7"/>
      <c r="N57" s="22"/>
      <c r="P57" s="30">
        <f t="shared" si="1"/>
        <v>0</v>
      </c>
    </row>
    <row r="58" spans="1:16" ht="66" customHeight="1">
      <c r="A58" s="43"/>
      <c r="B58" s="51"/>
      <c r="C58" s="44"/>
      <c r="D58" s="56"/>
      <c r="E58" s="46"/>
      <c r="F58" s="42"/>
      <c r="G58" s="6"/>
      <c r="H58" s="6"/>
      <c r="I58" s="6"/>
      <c r="J58" s="6"/>
      <c r="K58" s="63"/>
      <c r="L58" s="3"/>
      <c r="M58" s="7"/>
      <c r="N58" s="22"/>
      <c r="P58" s="30">
        <f t="shared" si="1"/>
        <v>0</v>
      </c>
    </row>
    <row r="59" spans="1:16" ht="66" customHeight="1">
      <c r="A59" s="43"/>
      <c r="B59" s="50"/>
      <c r="C59" s="44"/>
      <c r="D59" s="59"/>
      <c r="E59" s="46"/>
      <c r="F59" s="41"/>
      <c r="G59" s="6"/>
      <c r="H59" s="6"/>
      <c r="I59" s="6"/>
      <c r="J59" s="6"/>
      <c r="K59" s="63"/>
      <c r="L59" s="3"/>
      <c r="M59" s="7"/>
      <c r="N59" s="22"/>
      <c r="P59" s="30">
        <f t="shared" si="1"/>
        <v>0</v>
      </c>
    </row>
    <row r="60" spans="1:16" ht="66" customHeight="1">
      <c r="A60" s="43"/>
      <c r="B60" s="51"/>
      <c r="C60" s="44"/>
      <c r="D60" s="56"/>
      <c r="E60" s="46"/>
      <c r="F60" s="42"/>
      <c r="G60" s="6"/>
      <c r="H60" s="6"/>
      <c r="I60" s="6"/>
      <c r="J60" s="6"/>
      <c r="K60" s="63"/>
      <c r="L60" s="3"/>
      <c r="M60" s="7"/>
      <c r="N60" s="22"/>
      <c r="P60" s="30">
        <f t="shared" si="1"/>
        <v>0</v>
      </c>
    </row>
    <row r="61" spans="1:16" ht="66" customHeight="1">
      <c r="A61" s="43"/>
      <c r="B61" s="50"/>
      <c r="C61" s="44"/>
      <c r="D61" s="56"/>
      <c r="E61" s="46"/>
      <c r="F61" s="42"/>
      <c r="G61" s="6"/>
      <c r="H61" s="6"/>
      <c r="I61" s="6"/>
      <c r="J61" s="6"/>
      <c r="K61" s="63"/>
      <c r="L61" s="3"/>
      <c r="M61" s="7"/>
      <c r="N61" s="22"/>
      <c r="P61" s="30">
        <f t="shared" si="1"/>
        <v>0</v>
      </c>
    </row>
    <row r="62" spans="1:16" ht="66" customHeight="1">
      <c r="A62" s="43"/>
      <c r="B62" s="51"/>
      <c r="C62" s="64"/>
      <c r="D62" s="60"/>
      <c r="E62" s="62"/>
      <c r="F62" s="40"/>
      <c r="G62" s="6"/>
      <c r="H62" s="23"/>
      <c r="I62" s="23"/>
      <c r="J62" s="67"/>
      <c r="K62" s="68"/>
      <c r="L62" s="69"/>
      <c r="M62" s="7"/>
      <c r="N62" s="22"/>
      <c r="P62" s="30">
        <f t="shared" si="1"/>
        <v>0</v>
      </c>
    </row>
    <row r="63" spans="1:16" ht="66" customHeight="1">
      <c r="A63" s="43"/>
      <c r="B63" s="50"/>
      <c r="C63" s="44"/>
      <c r="D63" s="70"/>
      <c r="E63" s="46"/>
      <c r="F63" s="42"/>
      <c r="G63" s="6"/>
      <c r="H63" s="23"/>
      <c r="I63" s="23"/>
      <c r="J63" s="67"/>
      <c r="K63" s="68"/>
      <c r="L63" s="69"/>
      <c r="M63" s="7"/>
      <c r="N63" s="22"/>
      <c r="P63" s="30">
        <f t="shared" si="1"/>
        <v>0</v>
      </c>
    </row>
    <row r="64" spans="1:16" ht="66" customHeight="1">
      <c r="A64" s="43"/>
      <c r="B64" s="51"/>
      <c r="C64" s="44"/>
      <c r="D64" s="45"/>
      <c r="E64" s="46"/>
      <c r="F64" s="35"/>
      <c r="G64" s="6"/>
      <c r="H64" s="6"/>
      <c r="I64" s="6"/>
      <c r="J64" s="23"/>
      <c r="K64" s="37"/>
      <c r="L64" s="3"/>
      <c r="M64" s="7"/>
      <c r="N64" s="22"/>
      <c r="P64" s="30">
        <f t="shared" si="1"/>
        <v>0</v>
      </c>
    </row>
    <row r="65" spans="1:16" ht="66" customHeight="1">
      <c r="A65" s="43"/>
      <c r="B65" s="50"/>
      <c r="C65" s="44"/>
      <c r="D65" s="45"/>
      <c r="E65" s="46"/>
      <c r="F65" s="35"/>
      <c r="G65" s="6"/>
      <c r="H65" s="6"/>
      <c r="I65" s="6"/>
      <c r="J65" s="23"/>
      <c r="K65" s="37"/>
      <c r="L65" s="3"/>
      <c r="M65" s="7"/>
      <c r="N65" s="22"/>
      <c r="P65" s="30">
        <f t="shared" si="1"/>
        <v>0</v>
      </c>
    </row>
    <row r="66" spans="1:16" ht="66" customHeight="1">
      <c r="A66" s="43"/>
      <c r="B66" s="51"/>
      <c r="C66" s="44"/>
      <c r="D66" s="45"/>
      <c r="E66" s="46"/>
      <c r="F66" s="35"/>
      <c r="G66" s="6"/>
      <c r="H66" s="6"/>
      <c r="I66" s="6"/>
      <c r="J66" s="23"/>
      <c r="K66" s="37"/>
      <c r="L66" s="3"/>
      <c r="M66" s="7"/>
      <c r="N66" s="22"/>
      <c r="P66" s="30">
        <f t="shared" si="1"/>
        <v>0</v>
      </c>
    </row>
    <row r="67" spans="1:16" ht="66" customHeight="1">
      <c r="A67" s="43"/>
      <c r="B67" s="50"/>
      <c r="C67" s="44"/>
      <c r="D67" s="45"/>
      <c r="E67" s="46"/>
      <c r="F67" s="35"/>
      <c r="G67" s="6"/>
      <c r="H67" s="6"/>
      <c r="I67" s="6"/>
      <c r="J67" s="23"/>
      <c r="K67" s="37"/>
      <c r="L67" s="3"/>
      <c r="M67" s="7"/>
      <c r="N67" s="22"/>
      <c r="P67" s="30">
        <f t="shared" si="1"/>
        <v>0</v>
      </c>
    </row>
    <row r="68" spans="1:16" ht="66" customHeight="1">
      <c r="A68" s="43"/>
      <c r="B68" s="51"/>
      <c r="C68" s="44"/>
      <c r="D68" s="47"/>
      <c r="E68" s="5"/>
      <c r="F68" s="35"/>
      <c r="G68" s="6"/>
      <c r="H68" s="6"/>
      <c r="I68" s="6"/>
      <c r="J68" s="23"/>
      <c r="K68" s="37"/>
      <c r="L68" s="3"/>
      <c r="M68" s="7"/>
      <c r="N68" s="22"/>
      <c r="P68" s="30">
        <f t="shared" si="1"/>
        <v>0</v>
      </c>
    </row>
    <row r="69" spans="1:16" ht="66" customHeight="1">
      <c r="A69" s="43"/>
      <c r="B69" s="46"/>
      <c r="C69" s="45"/>
      <c r="D69" s="45"/>
      <c r="E69" s="46"/>
      <c r="F69" s="35"/>
      <c r="G69" s="6"/>
      <c r="H69" s="6"/>
      <c r="I69" s="6"/>
      <c r="J69" s="23"/>
      <c r="K69" s="37"/>
      <c r="L69" s="3"/>
      <c r="M69" s="7"/>
      <c r="N69" s="22"/>
      <c r="P69" s="30">
        <f t="shared" si="1"/>
        <v>0</v>
      </c>
    </row>
    <row r="70" spans="1:16" ht="66" customHeight="1">
      <c r="A70" s="43"/>
      <c r="B70" s="46"/>
      <c r="C70" s="45"/>
      <c r="D70" s="45"/>
      <c r="E70" s="46"/>
      <c r="F70" s="35"/>
      <c r="G70" s="6"/>
      <c r="H70" s="6"/>
      <c r="I70" s="6"/>
      <c r="J70" s="23"/>
      <c r="K70" s="37"/>
      <c r="L70" s="3"/>
      <c r="M70" s="7"/>
      <c r="N70" s="22"/>
      <c r="P70" s="30">
        <f t="shared" si="1"/>
        <v>0</v>
      </c>
    </row>
    <row r="71" spans="1:16" ht="66" customHeight="1">
      <c r="A71" s="43"/>
      <c r="B71" s="46"/>
      <c r="C71" s="45"/>
      <c r="D71" s="45"/>
      <c r="E71" s="46"/>
      <c r="F71" s="35"/>
      <c r="G71" s="6"/>
      <c r="H71" s="6"/>
      <c r="I71" s="6"/>
      <c r="J71" s="23"/>
      <c r="K71" s="37"/>
      <c r="L71" s="3"/>
      <c r="M71" s="7"/>
      <c r="N71" s="22"/>
      <c r="P71" s="30">
        <f t="shared" si="1"/>
        <v>0</v>
      </c>
    </row>
    <row r="72" spans="1:16" ht="66" customHeight="1">
      <c r="A72" s="43"/>
      <c r="B72" s="46"/>
      <c r="C72" s="45"/>
      <c r="D72" s="45"/>
      <c r="E72" s="46"/>
      <c r="F72" s="35"/>
      <c r="G72" s="6"/>
      <c r="H72" s="6"/>
      <c r="I72" s="6"/>
      <c r="J72" s="23"/>
      <c r="K72" s="37"/>
      <c r="L72" s="3"/>
      <c r="M72" s="7"/>
      <c r="N72" s="22"/>
      <c r="P72" s="30">
        <f t="shared" si="1"/>
        <v>0</v>
      </c>
    </row>
    <row r="73" spans="1:16" ht="66" customHeight="1">
      <c r="A73" s="43"/>
      <c r="B73" s="46"/>
      <c r="C73" s="45"/>
      <c r="D73" s="45"/>
      <c r="E73" s="46"/>
      <c r="F73" s="35"/>
      <c r="G73" s="6"/>
      <c r="H73" s="6"/>
      <c r="I73" s="6"/>
      <c r="J73" s="23"/>
      <c r="K73" s="37"/>
      <c r="L73" s="3"/>
      <c r="M73" s="7"/>
      <c r="N73" s="22"/>
      <c r="P73" s="30">
        <f t="shared" si="1"/>
        <v>0</v>
      </c>
    </row>
    <row r="74" spans="1:16" ht="66" customHeight="1">
      <c r="A74" s="43"/>
      <c r="B74" s="46"/>
      <c r="C74" s="45"/>
      <c r="D74" s="45"/>
      <c r="E74" s="46"/>
      <c r="F74" s="35"/>
      <c r="G74" s="6"/>
      <c r="H74" s="6"/>
      <c r="I74" s="6"/>
      <c r="J74" s="23"/>
      <c r="K74" s="37"/>
      <c r="L74" s="3"/>
      <c r="M74" s="7"/>
      <c r="N74" s="22"/>
      <c r="P74" s="30">
        <f t="shared" si="1"/>
        <v>0</v>
      </c>
    </row>
    <row r="75" spans="1:16" ht="66" customHeight="1">
      <c r="A75" s="43"/>
      <c r="B75" s="46"/>
      <c r="C75" s="45"/>
      <c r="D75" s="45"/>
      <c r="E75" s="46"/>
      <c r="F75" s="35"/>
      <c r="G75" s="6"/>
      <c r="H75" s="6"/>
      <c r="I75" s="6"/>
      <c r="J75" s="23"/>
      <c r="K75" s="37"/>
      <c r="L75" s="3"/>
      <c r="M75" s="7"/>
      <c r="N75" s="22"/>
      <c r="P75" s="30">
        <f t="shared" si="1"/>
        <v>0</v>
      </c>
    </row>
    <row r="76" spans="1:16" ht="66" customHeight="1">
      <c r="A76" s="43"/>
      <c r="B76" s="46"/>
      <c r="C76" s="45"/>
      <c r="D76" s="45"/>
      <c r="E76" s="46"/>
      <c r="F76" s="35"/>
      <c r="G76" s="6"/>
      <c r="H76" s="6"/>
      <c r="I76" s="6"/>
      <c r="J76" s="23"/>
      <c r="K76" s="37"/>
      <c r="L76" s="3"/>
      <c r="M76" s="7"/>
      <c r="N76" s="22"/>
      <c r="P76" s="30">
        <f t="shared" si="1"/>
        <v>0</v>
      </c>
    </row>
    <row r="77" spans="1:16" ht="66" customHeight="1">
      <c r="A77" s="43"/>
      <c r="B77" s="46"/>
      <c r="C77" s="45"/>
      <c r="D77" s="45"/>
      <c r="E77" s="46"/>
      <c r="F77" s="35"/>
      <c r="G77" s="6"/>
      <c r="H77" s="6"/>
      <c r="I77" s="6"/>
      <c r="J77" s="23"/>
      <c r="K77" s="37"/>
      <c r="L77" s="3"/>
      <c r="M77" s="7"/>
      <c r="N77" s="22"/>
      <c r="P77" s="30">
        <f t="shared" ref="P77:P88" si="2">ROUND(L77,0)</f>
        <v>0</v>
      </c>
    </row>
    <row r="78" spans="1:16" ht="66" customHeight="1">
      <c r="A78" s="43"/>
      <c r="B78" s="46"/>
      <c r="C78" s="45"/>
      <c r="D78" s="45"/>
      <c r="E78" s="46"/>
      <c r="F78" s="35"/>
      <c r="G78" s="6"/>
      <c r="H78" s="6"/>
      <c r="I78" s="6"/>
      <c r="J78" s="23"/>
      <c r="K78" s="37"/>
      <c r="L78" s="3"/>
      <c r="M78" s="7"/>
      <c r="N78" s="22"/>
      <c r="P78" s="30">
        <f t="shared" si="2"/>
        <v>0</v>
      </c>
    </row>
    <row r="79" spans="1:16" ht="66" customHeight="1">
      <c r="A79" s="43"/>
      <c r="B79" s="46"/>
      <c r="C79" s="45"/>
      <c r="D79" s="45"/>
      <c r="E79" s="46"/>
      <c r="F79" s="35"/>
      <c r="G79" s="6"/>
      <c r="H79" s="6"/>
      <c r="I79" s="6"/>
      <c r="J79" s="23"/>
      <c r="K79" s="37"/>
      <c r="L79" s="3"/>
      <c r="M79" s="7"/>
      <c r="N79" s="22"/>
      <c r="P79" s="30">
        <f t="shared" si="2"/>
        <v>0</v>
      </c>
    </row>
    <row r="80" spans="1:16" ht="66" customHeight="1">
      <c r="A80" s="43"/>
      <c r="B80" s="46"/>
      <c r="C80" s="45"/>
      <c r="D80" s="45"/>
      <c r="E80" s="46"/>
      <c r="F80" s="35"/>
      <c r="G80" s="6"/>
      <c r="H80" s="6"/>
      <c r="I80" s="6"/>
      <c r="J80" s="23"/>
      <c r="K80" s="37"/>
      <c r="L80" s="3"/>
      <c r="M80" s="7"/>
      <c r="N80" s="22"/>
      <c r="P80" s="30">
        <f t="shared" si="2"/>
        <v>0</v>
      </c>
    </row>
    <row r="81" spans="1:16" ht="66" customHeight="1">
      <c r="A81" s="43"/>
      <c r="B81" s="53"/>
      <c r="C81" s="45"/>
      <c r="D81" s="52"/>
      <c r="E81" s="53"/>
      <c r="F81" s="35"/>
      <c r="G81" s="6"/>
      <c r="H81" s="6"/>
      <c r="I81" s="6"/>
      <c r="J81" s="23"/>
      <c r="K81" s="37"/>
      <c r="L81" s="3"/>
      <c r="M81" s="7"/>
      <c r="N81" s="22"/>
      <c r="P81" s="30">
        <f t="shared" si="2"/>
        <v>0</v>
      </c>
    </row>
    <row r="82" spans="1:16" ht="66" customHeight="1">
      <c r="A82" s="43"/>
      <c r="B82" s="5"/>
      <c r="C82" s="45"/>
      <c r="D82" s="47"/>
      <c r="E82" s="5"/>
      <c r="F82" s="35"/>
      <c r="G82" s="6"/>
      <c r="H82" s="6"/>
      <c r="I82" s="6"/>
      <c r="J82" s="23"/>
      <c r="K82" s="37"/>
      <c r="L82" s="3"/>
      <c r="M82" s="7"/>
      <c r="N82" s="22"/>
      <c r="P82" s="30">
        <f t="shared" si="2"/>
        <v>0</v>
      </c>
    </row>
    <row r="83" spans="1:16" ht="66" customHeight="1">
      <c r="A83" s="43"/>
      <c r="B83" s="46"/>
      <c r="C83" s="45"/>
      <c r="D83" s="45"/>
      <c r="E83" s="46"/>
      <c r="F83" s="35"/>
      <c r="G83" s="6"/>
      <c r="H83" s="6"/>
      <c r="I83" s="6"/>
      <c r="J83" s="23"/>
      <c r="K83" s="37"/>
      <c r="L83" s="3"/>
      <c r="M83" s="54"/>
      <c r="N83" s="22"/>
      <c r="P83" s="30">
        <f t="shared" si="2"/>
        <v>0</v>
      </c>
    </row>
    <row r="84" spans="1:16" ht="66" customHeight="1">
      <c r="A84" s="43"/>
      <c r="B84" s="46"/>
      <c r="C84" s="45"/>
      <c r="D84" s="45"/>
      <c r="E84" s="46"/>
      <c r="F84" s="35"/>
      <c r="G84" s="6"/>
      <c r="H84" s="6"/>
      <c r="I84" s="6"/>
      <c r="J84" s="23"/>
      <c r="K84" s="37"/>
      <c r="L84" s="3"/>
      <c r="M84" s="54"/>
      <c r="N84" s="22"/>
      <c r="P84" s="30">
        <f t="shared" si="2"/>
        <v>0</v>
      </c>
    </row>
    <row r="85" spans="1:16" ht="66" customHeight="1">
      <c r="A85" s="43"/>
      <c r="B85" s="46"/>
      <c r="C85" s="45"/>
      <c r="D85" s="45"/>
      <c r="E85" s="46"/>
      <c r="F85" s="35"/>
      <c r="G85" s="6"/>
      <c r="H85" s="6"/>
      <c r="I85" s="6"/>
      <c r="J85" s="23"/>
      <c r="K85" s="37"/>
      <c r="L85" s="3"/>
      <c r="M85" s="54"/>
      <c r="N85" s="22"/>
      <c r="P85" s="30">
        <f t="shared" si="2"/>
        <v>0</v>
      </c>
    </row>
    <row r="86" spans="1:16" ht="66" customHeight="1">
      <c r="A86" s="43"/>
      <c r="B86" s="46"/>
      <c r="C86" s="45"/>
      <c r="D86" s="45"/>
      <c r="E86" s="46"/>
      <c r="F86" s="35"/>
      <c r="G86" s="6"/>
      <c r="H86" s="6"/>
      <c r="I86" s="6"/>
      <c r="J86" s="23"/>
      <c r="K86" s="37"/>
      <c r="L86" s="3"/>
      <c r="M86" s="54"/>
      <c r="N86" s="22"/>
      <c r="P86" s="30">
        <f t="shared" si="2"/>
        <v>0</v>
      </c>
    </row>
    <row r="87" spans="1:16" ht="66" customHeight="1">
      <c r="A87" s="43"/>
      <c r="B87" s="46"/>
      <c r="C87" s="45"/>
      <c r="D87" s="45"/>
      <c r="E87" s="46"/>
      <c r="F87" s="35"/>
      <c r="G87" s="6"/>
      <c r="H87" s="6"/>
      <c r="I87" s="6"/>
      <c r="J87" s="23"/>
      <c r="K87" s="37"/>
      <c r="L87" s="3"/>
      <c r="M87" s="54"/>
      <c r="N87" s="22"/>
      <c r="P87" s="30">
        <f t="shared" si="2"/>
        <v>0</v>
      </c>
    </row>
    <row r="88" spans="1:16" ht="66" customHeight="1">
      <c r="A88" s="43"/>
      <c r="B88" s="33"/>
      <c r="C88" s="45"/>
      <c r="D88" s="45"/>
      <c r="E88" s="46"/>
      <c r="F88" s="35"/>
      <c r="G88" s="6"/>
      <c r="H88" s="6"/>
      <c r="I88" s="6"/>
      <c r="J88" s="23"/>
      <c r="K88" s="37"/>
      <c r="L88" s="3"/>
      <c r="M88" s="7"/>
      <c r="N88" s="22"/>
      <c r="P88" s="30">
        <f t="shared" si="2"/>
        <v>0</v>
      </c>
    </row>
    <row r="89" spans="1:16" ht="66" customHeight="1">
      <c r="A89" s="43"/>
      <c r="B89" s="32"/>
      <c r="C89" s="45"/>
      <c r="D89" s="45"/>
      <c r="E89" s="46"/>
      <c r="F89" s="35"/>
      <c r="G89" s="6"/>
      <c r="H89" s="6"/>
      <c r="I89" s="6"/>
      <c r="J89" s="23"/>
      <c r="K89" s="37"/>
      <c r="L89" s="3"/>
      <c r="M89" s="7"/>
      <c r="N89" s="22"/>
      <c r="P89" s="30">
        <f t="shared" ref="P89:P90" si="3">ROUND(L89,0)</f>
        <v>0</v>
      </c>
    </row>
    <row r="90" spans="1:16" ht="66" customHeight="1">
      <c r="A90" s="43"/>
      <c r="B90" s="33"/>
      <c r="C90" s="45"/>
      <c r="D90" s="45"/>
      <c r="E90" s="46"/>
      <c r="F90" s="35"/>
      <c r="G90" s="6"/>
      <c r="H90" s="6"/>
      <c r="I90" s="6"/>
      <c r="J90" s="23"/>
      <c r="K90" s="37"/>
      <c r="L90" s="3"/>
      <c r="M90" s="7"/>
      <c r="N90" s="22"/>
      <c r="P90" s="30">
        <f t="shared" si="3"/>
        <v>0</v>
      </c>
    </row>
    <row r="91" spans="1:16" ht="66" customHeight="1">
      <c r="A91" s="31"/>
      <c r="B91" s="32"/>
      <c r="C91" s="7"/>
      <c r="D91" s="11"/>
      <c r="E91" s="5"/>
      <c r="F91" s="35"/>
      <c r="G91" s="6"/>
      <c r="H91" s="6"/>
      <c r="I91" s="6"/>
      <c r="J91" s="6"/>
      <c r="K91" s="28"/>
      <c r="L91" s="3"/>
      <c r="M91"/>
      <c r="N91" s="22"/>
    </row>
    <row r="92" spans="1:16" ht="66" customHeight="1">
      <c r="A92" s="7"/>
      <c r="B92" s="33"/>
      <c r="C92" s="7"/>
      <c r="D92" s="11"/>
      <c r="E92" s="4"/>
      <c r="F92" s="35"/>
      <c r="G92" s="6"/>
      <c r="H92" s="6"/>
      <c r="I92" s="6"/>
      <c r="J92" s="6"/>
      <c r="K92" s="28"/>
      <c r="L92" s="3"/>
      <c r="M92" s="7"/>
      <c r="N92" s="22"/>
    </row>
    <row r="93" spans="1:16" ht="66" customHeight="1">
      <c r="A93" s="31"/>
      <c r="B93" s="32"/>
      <c r="C93" s="7"/>
      <c r="D93" s="11"/>
      <c r="E93" s="5"/>
      <c r="F93" s="35"/>
      <c r="G93" s="6"/>
      <c r="H93" s="6"/>
      <c r="I93" s="6"/>
      <c r="J93" s="6"/>
      <c r="K93" s="28"/>
      <c r="L93" s="3"/>
      <c r="M93" s="7"/>
      <c r="N93" s="22"/>
    </row>
    <row r="94" spans="1:16" ht="66" customHeight="1">
      <c r="A94" s="31"/>
      <c r="B94" s="32"/>
      <c r="C94" s="7"/>
      <c r="D94" s="11"/>
      <c r="E94" s="5"/>
      <c r="F94" s="35"/>
      <c r="G94" s="6"/>
      <c r="H94" s="6"/>
      <c r="I94" s="6"/>
      <c r="J94" s="6"/>
      <c r="K94" s="28"/>
      <c r="L94" s="3"/>
      <c r="M94" s="7"/>
      <c r="N94" s="22"/>
    </row>
    <row r="95" spans="1:16" ht="66" customHeight="1">
      <c r="A95" s="7"/>
      <c r="B95" s="33"/>
      <c r="C95" s="7"/>
      <c r="D95" s="11"/>
      <c r="E95" s="4"/>
      <c r="F95" s="35"/>
      <c r="G95" s="6"/>
      <c r="H95" s="6"/>
      <c r="I95" s="6"/>
      <c r="J95" s="6"/>
      <c r="K95" s="28"/>
      <c r="L95" s="3"/>
      <c r="M95" s="7"/>
      <c r="N95" s="22"/>
    </row>
    <row r="96" spans="1:16" ht="66" customHeight="1">
      <c r="A96" s="31"/>
      <c r="B96" s="32"/>
      <c r="C96" s="7"/>
      <c r="D96" s="11"/>
      <c r="E96" s="5"/>
      <c r="F96" s="35"/>
      <c r="G96" s="6"/>
      <c r="H96" s="6"/>
      <c r="I96" s="6"/>
      <c r="J96" s="6"/>
      <c r="K96" s="28"/>
      <c r="L96" s="3"/>
      <c r="M96" s="7"/>
      <c r="N96" s="22"/>
    </row>
    <row r="97" spans="1:14" ht="66" customHeight="1">
      <c r="A97" s="7"/>
      <c r="B97" s="33"/>
      <c r="C97" s="7"/>
      <c r="D97" s="11"/>
      <c r="E97" s="4"/>
      <c r="F97" s="35"/>
      <c r="G97" s="6"/>
      <c r="H97" s="6"/>
      <c r="I97" s="6"/>
      <c r="J97" s="6"/>
      <c r="K97" s="28"/>
      <c r="L97" s="3"/>
      <c r="M97" s="7"/>
      <c r="N97" s="22"/>
    </row>
    <row r="98" spans="1:14" ht="66" customHeight="1">
      <c r="A98" s="31"/>
      <c r="B98" s="32"/>
      <c r="C98" s="7"/>
      <c r="D98" s="11"/>
      <c r="E98" s="5"/>
      <c r="F98" s="35"/>
      <c r="G98" s="6"/>
      <c r="H98" s="6"/>
      <c r="I98" s="6"/>
      <c r="J98" s="6"/>
      <c r="K98" s="28"/>
      <c r="L98" s="3"/>
      <c r="M98" s="7"/>
      <c r="N98" s="22"/>
    </row>
    <row r="99" spans="1:14" ht="66" customHeight="1">
      <c r="A99" s="7"/>
      <c r="B99" s="33"/>
      <c r="C99" s="7"/>
      <c r="D99" s="11"/>
      <c r="E99" s="4"/>
      <c r="F99" s="35"/>
      <c r="G99" s="6"/>
      <c r="H99" s="6"/>
      <c r="I99" s="6"/>
      <c r="J99" s="6"/>
      <c r="K99" s="28"/>
      <c r="L99" s="3"/>
      <c r="M99" s="7"/>
      <c r="N99" s="22"/>
    </row>
    <row r="100" spans="1:14" ht="66" customHeight="1">
      <c r="A100" s="31"/>
      <c r="B100" s="32"/>
      <c r="C100" s="7"/>
      <c r="D100" s="11"/>
      <c r="E100" s="5"/>
      <c r="F100" s="35"/>
      <c r="G100" s="6"/>
      <c r="H100" s="6"/>
      <c r="I100" s="6"/>
      <c r="J100" s="6"/>
      <c r="K100" s="28"/>
      <c r="L100" s="3"/>
      <c r="M100" s="7"/>
      <c r="N100" s="22"/>
    </row>
    <row r="101" spans="1:14" ht="66" customHeight="1">
      <c r="A101" s="7"/>
      <c r="B101" s="33"/>
      <c r="C101" s="7"/>
      <c r="D101" s="11"/>
      <c r="E101" s="4"/>
      <c r="F101" s="35"/>
      <c r="G101" s="6"/>
      <c r="H101" s="6"/>
      <c r="I101" s="6"/>
      <c r="J101" s="6"/>
      <c r="K101" s="28"/>
      <c r="L101" s="3"/>
      <c r="M101" s="7"/>
      <c r="N101" s="22"/>
    </row>
    <row r="102" spans="1:14" ht="66" customHeight="1">
      <c r="A102" s="31"/>
      <c r="B102" s="32"/>
      <c r="C102" s="7"/>
      <c r="D102" s="11"/>
      <c r="E102" s="5"/>
      <c r="F102" s="35"/>
      <c r="G102" s="6"/>
      <c r="H102" s="6"/>
      <c r="I102" s="6"/>
      <c r="J102" s="6"/>
      <c r="K102" s="28"/>
      <c r="L102" s="3"/>
      <c r="M102" s="7"/>
      <c r="N102" s="22"/>
    </row>
    <row r="103" spans="1:14" ht="66" customHeight="1">
      <c r="A103" s="7"/>
      <c r="B103" s="33"/>
      <c r="C103" s="7"/>
      <c r="D103" s="11"/>
      <c r="E103" s="4"/>
      <c r="F103" s="35"/>
      <c r="G103" s="6"/>
      <c r="H103" s="6"/>
      <c r="I103" s="6"/>
      <c r="J103" s="6"/>
      <c r="K103" s="28"/>
      <c r="L103" s="3"/>
      <c r="M103" s="7"/>
      <c r="N103" s="22"/>
    </row>
    <row r="104" spans="1:14" ht="66" customHeight="1">
      <c r="A104" s="31"/>
      <c r="B104" s="32"/>
      <c r="C104" s="7"/>
      <c r="D104" s="11"/>
      <c r="E104" s="5"/>
      <c r="F104" s="35"/>
      <c r="G104" s="6"/>
      <c r="H104" s="6"/>
      <c r="I104" s="6"/>
      <c r="J104" s="6"/>
      <c r="K104" s="28"/>
      <c r="L104" s="3"/>
      <c r="M104" s="7"/>
      <c r="N104" s="22"/>
    </row>
    <row r="105" spans="1:14" ht="66" customHeight="1">
      <c r="A105" s="7"/>
      <c r="B105" s="33"/>
      <c r="C105" s="7"/>
      <c r="D105" s="11"/>
      <c r="E105" s="4"/>
      <c r="F105" s="35"/>
      <c r="G105" s="6"/>
      <c r="H105" s="6"/>
      <c r="I105" s="6"/>
      <c r="J105" s="6"/>
      <c r="K105" s="28"/>
      <c r="L105" s="3"/>
      <c r="M105" s="7"/>
      <c r="N105" s="22"/>
    </row>
    <row r="106" spans="1:14" ht="66" customHeight="1">
      <c r="A106" s="31"/>
      <c r="B106" s="32"/>
      <c r="C106" s="7"/>
      <c r="D106" s="11"/>
      <c r="E106" s="5"/>
      <c r="F106" s="35"/>
      <c r="G106" s="6"/>
      <c r="H106" s="6"/>
      <c r="I106" s="6"/>
      <c r="J106" s="6"/>
      <c r="K106" s="28"/>
      <c r="L106" s="3"/>
      <c r="M106" s="7"/>
      <c r="N106" s="22"/>
    </row>
    <row r="107" spans="1:14" ht="66" customHeight="1">
      <c r="A107" s="7"/>
      <c r="B107" s="33"/>
      <c r="C107" s="7"/>
      <c r="D107" s="11"/>
      <c r="E107" s="4"/>
      <c r="F107" s="35"/>
      <c r="G107" s="6"/>
      <c r="H107" s="6"/>
      <c r="I107" s="6"/>
      <c r="J107" s="6"/>
      <c r="K107" s="28"/>
      <c r="L107" s="3"/>
      <c r="M107" s="7"/>
      <c r="N107" s="22"/>
    </row>
    <row r="108" spans="1:14" ht="66" customHeight="1">
      <c r="A108" s="31"/>
      <c r="B108" s="32"/>
      <c r="C108" s="7"/>
      <c r="D108" s="11"/>
      <c r="E108" s="5"/>
      <c r="F108" s="35"/>
      <c r="G108" s="6"/>
      <c r="H108" s="6"/>
      <c r="I108" s="6"/>
      <c r="J108" s="6"/>
      <c r="K108" s="28"/>
      <c r="L108" s="3"/>
      <c r="M108" s="7"/>
      <c r="N108" s="22"/>
    </row>
    <row r="109" spans="1:14" ht="66" customHeight="1">
      <c r="A109" s="7"/>
      <c r="B109" s="33"/>
      <c r="C109" s="7"/>
      <c r="D109" s="11"/>
      <c r="E109" s="4"/>
      <c r="F109" s="35"/>
      <c r="G109" s="6"/>
      <c r="H109" s="6"/>
      <c r="I109" s="6"/>
      <c r="J109" s="6"/>
      <c r="K109" s="28"/>
      <c r="L109" s="3"/>
      <c r="M109" s="7"/>
      <c r="N109" s="22"/>
    </row>
    <row r="110" spans="1:14" ht="66" customHeight="1">
      <c r="A110" s="31"/>
      <c r="B110" s="32"/>
      <c r="C110" s="7"/>
      <c r="D110" s="11"/>
      <c r="E110" s="5"/>
      <c r="F110" s="35"/>
      <c r="G110" s="6"/>
      <c r="H110" s="6"/>
      <c r="I110" s="6"/>
      <c r="J110" s="6"/>
      <c r="K110" s="28"/>
      <c r="L110" s="3"/>
      <c r="M110" s="7"/>
      <c r="N110" s="22"/>
    </row>
    <row r="111" spans="1:14" ht="66" customHeight="1">
      <c r="A111" s="7"/>
      <c r="B111" s="33"/>
      <c r="C111" s="7"/>
      <c r="D111" s="11"/>
      <c r="E111" s="4"/>
      <c r="F111" s="35"/>
      <c r="G111" s="6"/>
      <c r="H111" s="6"/>
      <c r="I111" s="6"/>
      <c r="J111" s="6"/>
      <c r="K111" s="28"/>
      <c r="L111" s="3"/>
      <c r="M111" s="7"/>
      <c r="N111" s="22"/>
    </row>
    <row r="112" spans="1:14" ht="66" customHeight="1">
      <c r="A112" s="31"/>
      <c r="B112" s="32"/>
      <c r="C112" s="7"/>
      <c r="D112" s="11"/>
      <c r="E112" s="5"/>
      <c r="F112" s="35"/>
      <c r="G112" s="6"/>
      <c r="H112" s="6"/>
      <c r="I112" s="6"/>
      <c r="J112" s="6"/>
      <c r="K112" s="28"/>
      <c r="L112" s="3"/>
      <c r="M112" s="7"/>
      <c r="N112" s="22"/>
    </row>
    <row r="113" spans="1:14" ht="66" customHeight="1">
      <c r="A113" s="7"/>
      <c r="B113" s="33"/>
      <c r="C113" s="7"/>
      <c r="D113" s="11"/>
      <c r="E113" s="4"/>
      <c r="F113" s="35"/>
      <c r="G113" s="6"/>
      <c r="H113" s="6"/>
      <c r="I113" s="6"/>
      <c r="J113" s="6"/>
      <c r="K113" s="28"/>
      <c r="L113" s="3"/>
      <c r="M113" s="7"/>
      <c r="N113" s="22"/>
    </row>
    <row r="114" spans="1:14" ht="66" customHeight="1">
      <c r="A114" s="31"/>
      <c r="B114" s="32"/>
      <c r="C114" s="7"/>
      <c r="D114" s="11"/>
      <c r="E114" s="5"/>
      <c r="F114" s="35"/>
      <c r="G114" s="6"/>
      <c r="H114" s="6"/>
      <c r="I114" s="6"/>
      <c r="J114" s="6"/>
      <c r="K114" s="28"/>
      <c r="L114" s="3"/>
      <c r="M114" s="7"/>
      <c r="N114" s="22"/>
    </row>
    <row r="115" spans="1:14" ht="66" customHeight="1">
      <c r="A115" s="31"/>
      <c r="B115" s="32"/>
      <c r="C115" s="7"/>
      <c r="D115" s="11"/>
      <c r="E115" s="5"/>
      <c r="F115" s="35"/>
      <c r="G115" s="6"/>
      <c r="H115" s="6"/>
      <c r="I115" s="6"/>
      <c r="J115" s="6"/>
      <c r="K115" s="28"/>
      <c r="L115" s="3"/>
      <c r="M115" s="7"/>
      <c r="N115" s="22"/>
    </row>
    <row r="116" spans="1:14" ht="66" customHeight="1">
      <c r="A116" s="7"/>
      <c r="B116" s="33"/>
      <c r="C116" s="7"/>
      <c r="D116" s="11"/>
      <c r="E116" s="4"/>
      <c r="F116" s="35"/>
      <c r="G116" s="6"/>
      <c r="H116" s="6"/>
      <c r="I116" s="6"/>
      <c r="J116" s="6"/>
      <c r="K116" s="28"/>
      <c r="L116" s="3"/>
      <c r="M116" s="7"/>
      <c r="N116" s="22"/>
    </row>
    <row r="117" spans="1:14" ht="66" customHeight="1">
      <c r="A117" s="31"/>
      <c r="B117" s="32"/>
      <c r="C117" s="7"/>
      <c r="D117" s="11"/>
      <c r="E117" s="5"/>
      <c r="F117" s="35"/>
      <c r="G117" s="6"/>
      <c r="H117" s="6"/>
      <c r="I117" s="6"/>
      <c r="J117" s="6"/>
      <c r="K117" s="28"/>
      <c r="L117" s="3"/>
      <c r="M117" s="7"/>
      <c r="N117" s="22"/>
    </row>
    <row r="118" spans="1:14" ht="66" customHeight="1">
      <c r="A118" s="7"/>
      <c r="B118" s="33"/>
      <c r="C118" s="7"/>
      <c r="D118" s="11"/>
      <c r="E118" s="4"/>
      <c r="F118" s="35"/>
      <c r="G118" s="6"/>
      <c r="H118" s="6"/>
      <c r="I118" s="6"/>
      <c r="J118" s="6"/>
      <c r="K118" s="28"/>
      <c r="L118" s="3"/>
      <c r="M118" s="7"/>
      <c r="N118" s="22"/>
    </row>
    <row r="119" spans="1:14" ht="66" customHeight="1">
      <c r="A119" s="31"/>
      <c r="B119" s="32"/>
      <c r="C119" s="7"/>
      <c r="D119" s="11"/>
      <c r="E119" s="5"/>
      <c r="F119" s="35"/>
      <c r="G119" s="6"/>
      <c r="H119" s="6"/>
      <c r="I119" s="6"/>
      <c r="J119" s="6"/>
      <c r="K119" s="28"/>
      <c r="L119" s="3"/>
      <c r="M119" s="7"/>
      <c r="N119" s="22"/>
    </row>
    <row r="120" spans="1:14" ht="66" customHeight="1">
      <c r="A120" s="7"/>
      <c r="B120" s="33"/>
      <c r="C120" s="7"/>
      <c r="D120" s="11"/>
      <c r="E120" s="4"/>
      <c r="F120" s="35"/>
      <c r="G120" s="6"/>
      <c r="H120" s="6"/>
      <c r="I120" s="6"/>
      <c r="J120" s="6"/>
      <c r="K120" s="28"/>
      <c r="L120" s="3"/>
      <c r="M120" s="7"/>
      <c r="N120" s="22"/>
    </row>
    <row r="121" spans="1:14" ht="66" customHeight="1">
      <c r="A121" s="31"/>
      <c r="B121" s="32"/>
      <c r="C121" s="7"/>
      <c r="D121" s="11"/>
      <c r="E121" s="5"/>
      <c r="F121" s="35"/>
      <c r="G121" s="6"/>
      <c r="H121" s="6"/>
      <c r="I121" s="6"/>
      <c r="J121" s="6"/>
      <c r="K121" s="28"/>
      <c r="L121" s="3"/>
      <c r="M121" s="7"/>
      <c r="N121" s="22"/>
    </row>
    <row r="122" spans="1:14" ht="66" customHeight="1">
      <c r="A122" s="7"/>
      <c r="B122" s="33"/>
      <c r="C122" s="7"/>
      <c r="D122" s="11"/>
      <c r="E122" s="4"/>
      <c r="F122" s="35"/>
      <c r="G122" s="6"/>
      <c r="H122" s="6"/>
      <c r="I122" s="6"/>
      <c r="J122" s="6"/>
      <c r="K122" s="28"/>
      <c r="L122" s="3"/>
      <c r="M122" s="7"/>
      <c r="N122" s="22"/>
    </row>
    <row r="123" spans="1:14" ht="66" customHeight="1">
      <c r="A123" s="31"/>
      <c r="B123" s="32"/>
      <c r="C123" s="7"/>
      <c r="D123" s="11"/>
      <c r="E123" s="5"/>
      <c r="F123" s="35"/>
      <c r="G123" s="6"/>
      <c r="H123" s="6"/>
      <c r="I123" s="6"/>
      <c r="J123" s="6"/>
      <c r="K123" s="28"/>
      <c r="L123" s="3"/>
      <c r="M123" s="7"/>
      <c r="N123" s="22"/>
    </row>
    <row r="124" spans="1:14" ht="66" customHeight="1">
      <c r="A124" s="7"/>
      <c r="B124" s="33"/>
      <c r="C124" s="7"/>
      <c r="D124" s="11"/>
      <c r="E124" s="4"/>
      <c r="F124" s="35"/>
      <c r="G124" s="6"/>
      <c r="H124" s="6"/>
      <c r="I124" s="6"/>
      <c r="J124" s="6"/>
      <c r="K124" s="28"/>
      <c r="L124" s="3"/>
      <c r="M124" s="7"/>
      <c r="N124" s="22"/>
    </row>
    <row r="125" spans="1:14" ht="66" customHeight="1">
      <c r="A125" s="31"/>
      <c r="B125" s="32"/>
      <c r="C125" s="7"/>
      <c r="D125" s="11"/>
      <c r="E125" s="5"/>
      <c r="F125" s="35"/>
      <c r="G125" s="6"/>
      <c r="H125" s="6"/>
      <c r="I125" s="6"/>
      <c r="J125" s="6"/>
      <c r="K125" s="28"/>
      <c r="L125" s="3"/>
      <c r="M125" s="7"/>
      <c r="N125" s="22"/>
    </row>
    <row r="126" spans="1:14" ht="66" customHeight="1">
      <c r="A126" s="7"/>
      <c r="B126" s="33"/>
      <c r="C126" s="7"/>
      <c r="D126" s="11"/>
      <c r="E126" s="4"/>
      <c r="F126" s="35"/>
      <c r="G126" s="6"/>
      <c r="H126" s="6"/>
      <c r="I126" s="6"/>
      <c r="J126" s="6"/>
      <c r="K126" s="28"/>
      <c r="L126" s="3"/>
      <c r="M126" s="7"/>
      <c r="N126" s="22"/>
    </row>
    <row r="127" spans="1:14" ht="66" customHeight="1">
      <c r="A127" s="31"/>
      <c r="B127" s="32"/>
      <c r="C127" s="7"/>
      <c r="D127" s="11"/>
      <c r="E127" s="5"/>
      <c r="F127" s="35"/>
      <c r="G127" s="6"/>
      <c r="H127" s="6"/>
      <c r="I127" s="6"/>
      <c r="J127" s="6"/>
      <c r="K127" s="28"/>
      <c r="L127" s="3"/>
      <c r="M127" s="7"/>
      <c r="N127" s="22"/>
    </row>
    <row r="128" spans="1:14" ht="66" customHeight="1">
      <c r="A128" s="7"/>
      <c r="B128" s="33"/>
      <c r="C128" s="7"/>
      <c r="D128" s="11"/>
      <c r="E128" s="4"/>
      <c r="F128" s="35"/>
      <c r="G128" s="6"/>
      <c r="H128" s="6"/>
      <c r="I128" s="6"/>
      <c r="J128" s="6"/>
      <c r="K128" s="28"/>
      <c r="L128" s="3"/>
      <c r="M128" s="7"/>
      <c r="N128" s="22"/>
    </row>
    <row r="129" spans="1:14" ht="66" customHeight="1">
      <c r="A129" s="31"/>
      <c r="B129" s="32"/>
      <c r="C129" s="7"/>
      <c r="D129" s="11"/>
      <c r="E129" s="5"/>
      <c r="F129" s="35"/>
      <c r="G129" s="6"/>
      <c r="H129" s="6"/>
      <c r="I129" s="6"/>
      <c r="J129" s="6"/>
      <c r="K129" s="28"/>
      <c r="L129" s="3"/>
      <c r="M129" s="7"/>
      <c r="N129" s="22"/>
    </row>
    <row r="130" spans="1:14" ht="66" customHeight="1">
      <c r="A130" s="7"/>
      <c r="B130" s="33"/>
      <c r="C130" s="7"/>
      <c r="D130" s="11"/>
      <c r="E130" s="4"/>
      <c r="F130" s="35"/>
      <c r="G130" s="6"/>
      <c r="H130" s="6"/>
      <c r="I130" s="6"/>
      <c r="J130" s="6"/>
      <c r="K130" s="28"/>
      <c r="L130" s="3"/>
      <c r="M130" s="7"/>
      <c r="N130" s="22"/>
    </row>
    <row r="131" spans="1:14" ht="66" customHeight="1">
      <c r="A131" s="31"/>
      <c r="B131" s="32"/>
      <c r="C131" s="7"/>
      <c r="D131" s="11"/>
      <c r="E131" s="5"/>
      <c r="F131" s="35"/>
      <c r="G131" s="6"/>
      <c r="H131" s="6"/>
      <c r="I131" s="6"/>
      <c r="J131" s="6"/>
      <c r="K131" s="28"/>
      <c r="L131" s="3"/>
      <c r="M131" s="7"/>
      <c r="N131" s="22"/>
    </row>
    <row r="132" spans="1:14" ht="66" customHeight="1">
      <c r="A132" s="7"/>
      <c r="B132" s="33"/>
      <c r="C132" s="7"/>
      <c r="D132" s="11"/>
      <c r="E132" s="4"/>
      <c r="F132" s="35"/>
      <c r="G132" s="6"/>
      <c r="H132" s="6"/>
      <c r="I132" s="6"/>
      <c r="J132" s="6"/>
      <c r="K132" s="28"/>
      <c r="L132" s="3"/>
      <c r="M132" s="7"/>
      <c r="N132" s="22"/>
    </row>
    <row r="133" spans="1:14" ht="66" customHeight="1">
      <c r="A133" s="31"/>
      <c r="B133" s="32"/>
      <c r="C133" s="7"/>
      <c r="D133" s="11"/>
      <c r="E133" s="5"/>
      <c r="F133" s="35"/>
      <c r="G133" s="6"/>
      <c r="H133" s="6"/>
      <c r="I133" s="6"/>
      <c r="J133" s="6"/>
      <c r="K133" s="28"/>
      <c r="L133" s="3"/>
      <c r="M133" s="7"/>
      <c r="N133" s="22"/>
    </row>
    <row r="134" spans="1:14" ht="66" customHeight="1">
      <c r="A134" s="7"/>
      <c r="B134" s="33"/>
      <c r="C134" s="7"/>
      <c r="D134" s="11"/>
      <c r="E134" s="4"/>
      <c r="F134" s="35"/>
      <c r="G134" s="6"/>
      <c r="H134" s="6"/>
      <c r="I134" s="6"/>
      <c r="J134" s="6"/>
      <c r="K134" s="28"/>
      <c r="L134" s="3"/>
      <c r="M134" s="7"/>
      <c r="N134" s="22"/>
    </row>
    <row r="135" spans="1:14" ht="66" customHeight="1">
      <c r="A135" s="31"/>
      <c r="B135" s="32"/>
      <c r="C135" s="7"/>
      <c r="D135" s="11"/>
      <c r="E135" s="5"/>
      <c r="F135" s="35"/>
      <c r="G135" s="6"/>
      <c r="H135" s="6"/>
      <c r="I135" s="6"/>
      <c r="J135" s="6"/>
      <c r="K135" s="28"/>
      <c r="L135" s="3"/>
      <c r="M135" s="7"/>
      <c r="N135" s="22"/>
    </row>
    <row r="136" spans="1:14" ht="66" customHeight="1">
      <c r="A136" s="31"/>
      <c r="B136" s="32"/>
      <c r="C136" s="7"/>
      <c r="D136" s="11"/>
      <c r="E136" s="5"/>
      <c r="F136" s="35"/>
      <c r="G136" s="6"/>
      <c r="H136" s="6"/>
      <c r="I136" s="6"/>
      <c r="J136" s="6"/>
      <c r="K136" s="28"/>
      <c r="L136" s="3"/>
      <c r="M136" s="7"/>
      <c r="N136" s="22"/>
    </row>
    <row r="137" spans="1:14" ht="66" customHeight="1">
      <c r="A137" s="7"/>
      <c r="B137" s="33"/>
      <c r="C137" s="7"/>
      <c r="D137" s="11"/>
      <c r="E137" s="4"/>
      <c r="F137" s="35"/>
      <c r="G137" s="6"/>
      <c r="H137" s="6"/>
      <c r="I137" s="6"/>
      <c r="J137" s="6"/>
      <c r="K137" s="28"/>
      <c r="L137" s="3"/>
      <c r="M137" s="7"/>
      <c r="N137" s="22"/>
    </row>
    <row r="138" spans="1:14" ht="66" customHeight="1">
      <c r="A138" s="31"/>
      <c r="B138" s="32"/>
      <c r="C138" s="7"/>
      <c r="D138" s="11"/>
      <c r="E138" s="5"/>
      <c r="F138" s="35"/>
      <c r="G138" s="6"/>
      <c r="H138" s="6"/>
      <c r="I138" s="6"/>
      <c r="J138" s="6"/>
      <c r="K138" s="28"/>
      <c r="L138" s="3"/>
      <c r="M138" s="7"/>
      <c r="N138" s="22"/>
    </row>
    <row r="139" spans="1:14" ht="66" customHeight="1">
      <c r="A139" s="7"/>
      <c r="B139" s="33"/>
      <c r="C139" s="7"/>
      <c r="D139" s="11"/>
      <c r="E139" s="4"/>
      <c r="F139" s="35"/>
      <c r="G139" s="6"/>
      <c r="H139" s="6"/>
      <c r="I139" s="6"/>
      <c r="J139" s="6"/>
      <c r="K139" s="28"/>
      <c r="L139" s="3"/>
      <c r="M139" s="7"/>
      <c r="N139" s="22"/>
    </row>
    <row r="140" spans="1:14" ht="66" customHeight="1">
      <c r="A140" s="31"/>
      <c r="B140" s="32"/>
      <c r="C140" s="7"/>
      <c r="D140" s="11"/>
      <c r="E140" s="5"/>
      <c r="F140" s="35"/>
      <c r="G140" s="6"/>
      <c r="H140" s="6"/>
      <c r="I140" s="6"/>
      <c r="J140" s="6"/>
      <c r="K140" s="28"/>
      <c r="L140" s="3"/>
      <c r="M140" s="7"/>
      <c r="N140" s="22"/>
    </row>
    <row r="141" spans="1:14" ht="66" customHeight="1">
      <c r="A141" s="7"/>
      <c r="B141" s="33"/>
      <c r="C141" s="7"/>
      <c r="D141" s="11"/>
      <c r="E141" s="4"/>
      <c r="F141" s="35"/>
      <c r="G141" s="6"/>
      <c r="H141" s="6"/>
      <c r="I141" s="6"/>
      <c r="J141" s="6"/>
      <c r="K141" s="28"/>
      <c r="L141" s="3"/>
      <c r="M141" s="7"/>
      <c r="N141" s="22"/>
    </row>
    <row r="142" spans="1:14" ht="66" customHeight="1">
      <c r="A142" s="31"/>
      <c r="B142" s="32"/>
      <c r="C142" s="7"/>
      <c r="D142" s="11"/>
      <c r="E142" s="5"/>
      <c r="F142" s="35"/>
      <c r="G142" s="6"/>
      <c r="H142" s="6"/>
      <c r="I142" s="6"/>
      <c r="J142" s="6"/>
      <c r="K142" s="28"/>
      <c r="L142" s="3"/>
      <c r="M142" s="7"/>
      <c r="N142" s="22"/>
    </row>
    <row r="143" spans="1:14" ht="66" customHeight="1">
      <c r="A143" s="7"/>
      <c r="B143" s="33"/>
      <c r="C143" s="7"/>
      <c r="D143" s="11"/>
      <c r="E143" s="4"/>
      <c r="F143" s="35"/>
      <c r="G143" s="6"/>
      <c r="H143" s="6"/>
      <c r="I143" s="6"/>
      <c r="J143" s="6"/>
      <c r="K143" s="28"/>
      <c r="L143" s="3"/>
      <c r="M143" s="7"/>
      <c r="N143" s="22"/>
    </row>
    <row r="144" spans="1:14" ht="66" customHeight="1">
      <c r="A144" s="31"/>
      <c r="B144" s="32"/>
      <c r="C144" s="7"/>
      <c r="D144" s="11"/>
      <c r="E144" s="5"/>
      <c r="F144" s="35"/>
      <c r="G144" s="6"/>
      <c r="H144" s="6"/>
      <c r="I144" s="6"/>
      <c r="J144" s="6"/>
      <c r="K144" s="28"/>
      <c r="L144" s="3"/>
      <c r="M144" s="7"/>
      <c r="N144" s="22"/>
    </row>
    <row r="145" spans="1:14" ht="66" customHeight="1">
      <c r="A145" s="7"/>
      <c r="B145" s="33"/>
      <c r="C145" s="7"/>
      <c r="D145" s="11"/>
      <c r="E145" s="4"/>
      <c r="F145" s="35"/>
      <c r="G145" s="6"/>
      <c r="H145" s="6"/>
      <c r="I145" s="6"/>
      <c r="J145" s="6"/>
      <c r="K145" s="28"/>
      <c r="L145" s="3"/>
      <c r="M145" s="7"/>
      <c r="N145" s="22"/>
    </row>
    <row r="146" spans="1:14" ht="66" customHeight="1">
      <c r="A146" s="31"/>
      <c r="B146" s="32"/>
      <c r="C146" s="7"/>
      <c r="D146" s="11"/>
      <c r="E146" s="5"/>
      <c r="F146" s="35"/>
      <c r="G146" s="6"/>
      <c r="H146" s="6"/>
      <c r="I146" s="6"/>
      <c r="J146" s="6"/>
      <c r="K146" s="28"/>
      <c r="L146" s="3"/>
      <c r="M146" s="7"/>
      <c r="N146" s="22"/>
    </row>
    <row r="147" spans="1:14" ht="66" customHeight="1">
      <c r="A147" s="7"/>
      <c r="B147" s="33"/>
      <c r="C147" s="7"/>
      <c r="D147" s="11"/>
      <c r="E147" s="4"/>
      <c r="F147" s="35"/>
      <c r="G147" s="6"/>
      <c r="H147" s="6"/>
      <c r="I147" s="6"/>
      <c r="J147" s="6"/>
      <c r="K147" s="28"/>
      <c r="L147" s="3"/>
      <c r="M147" s="7"/>
      <c r="N147" s="22"/>
    </row>
    <row r="148" spans="1:14" ht="66" customHeight="1">
      <c r="A148" s="31"/>
      <c r="B148" s="32"/>
      <c r="C148" s="7"/>
      <c r="D148" s="11"/>
      <c r="E148" s="5"/>
      <c r="F148" s="35"/>
      <c r="G148" s="6"/>
      <c r="H148" s="6"/>
      <c r="I148" s="6"/>
      <c r="J148" s="6"/>
      <c r="K148" s="28"/>
      <c r="L148" s="3"/>
      <c r="M148" s="7"/>
      <c r="N148" s="22"/>
    </row>
    <row r="149" spans="1:14" ht="66" customHeight="1">
      <c r="A149" s="7"/>
      <c r="B149" s="33"/>
      <c r="C149" s="7"/>
      <c r="D149" s="11"/>
      <c r="E149" s="4"/>
      <c r="F149" s="35"/>
      <c r="G149" s="6"/>
      <c r="H149" s="6"/>
      <c r="I149" s="6"/>
      <c r="J149" s="6"/>
      <c r="K149" s="28"/>
      <c r="L149" s="3"/>
      <c r="M149" s="7"/>
      <c r="N149" s="22"/>
    </row>
    <row r="150" spans="1:14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 s="7"/>
      <c r="N150" s="22"/>
    </row>
    <row r="151" spans="1:14" ht="66" customHeight="1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4" ht="66" customHeight="1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4" ht="66" customHeight="1">
      <c r="A153" s="7"/>
      <c r="B153" s="33"/>
      <c r="C153" s="7"/>
      <c r="D153" s="11"/>
      <c r="E153" s="4"/>
      <c r="F153" s="35"/>
      <c r="G153" s="6"/>
      <c r="H153" s="6"/>
      <c r="I153" s="6"/>
      <c r="J153" s="6"/>
      <c r="K153" s="28"/>
      <c r="L153" s="3"/>
      <c r="M153" s="7"/>
      <c r="N153" s="22"/>
    </row>
    <row r="154" spans="1:14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4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4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4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4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4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4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</sheetData>
  <conditionalFormatting sqref="C1 C50:C1048576">
    <cfRule type="duplicateValues" dxfId="7" priority="238"/>
  </conditionalFormatting>
  <conditionalFormatting sqref="L1:L1048576">
    <cfRule type="duplicateValues" dxfId="6" priority="191"/>
  </conditionalFormatting>
  <conditionalFormatting sqref="K2">
    <cfRule type="containsErrors" dxfId="5" priority="156" stopIfTrue="1">
      <formula>ISERROR('G:\EXPORT 16TH MAY 2018\[161 GOLD ORDER SHEET 16TH MAY 2018.xls]RINGS'!A1)</formula>
    </cfRule>
  </conditionalFormatting>
  <conditionalFormatting sqref="K2">
    <cfRule type="containsErrors" dxfId="4" priority="155" stopIfTrue="1">
      <formula>ISERROR('G:\EXPORT 16TH MAY 2018\[161 GOLD ORDER SHEET 16TH MAY 2018.xls]RINGS'!A1)</formula>
    </cfRule>
  </conditionalFormatting>
  <conditionalFormatting sqref="K2">
    <cfRule type="containsErrors" dxfId="3" priority="154" stopIfTrue="1">
      <formula>ISERROR('G:\EXPORT 16TH MAY 2018\[161 GOLD ORDER SHEET 16TH MAY 2018.xls]RINGS'!A1)</formula>
    </cfRule>
  </conditionalFormatting>
  <conditionalFormatting sqref="K2">
    <cfRule type="cellIs" dxfId="2" priority="153" operator="equal">
      <formula>0</formula>
    </cfRule>
  </conditionalFormatting>
  <conditionalFormatting sqref="B50:B65226">
    <cfRule type="duplicateValues" dxfId="1" priority="252" stopIfTrue="1"/>
  </conditionalFormatting>
  <conditionalFormatting sqref="L2">
    <cfRule type="duplicateValues" dxfId="0" priority="338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2018-10-11T11:54:43Z</dcterms:modified>
</cp:coreProperties>
</file>