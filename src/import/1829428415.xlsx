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\\ASUSFRONT\Desktop\JCK show\"/>
    </mc:Choice>
  </mc:AlternateContent>
  <bookViews>
    <workbookView xWindow="0" yWindow="0" windowWidth="23040" windowHeight="8805" tabRatio="767"/>
  </bookViews>
  <sheets>
    <sheet name="Sheet1" sheetId="16" r:id="rId1"/>
    <sheet name="Style codes" sheetId="17" r:id="rId2"/>
  </sheets>
  <calcPr calcId="171027"/>
</workbook>
</file>

<file path=xl/calcChain.xml><?xml version="1.0" encoding="utf-8"?>
<calcChain xmlns="http://schemas.openxmlformats.org/spreadsheetml/2006/main">
  <c r="K63" i="16" l="1"/>
  <c r="K62" i="16"/>
  <c r="K61" i="16"/>
  <c r="K60" i="16"/>
  <c r="K59" i="16"/>
  <c r="K58" i="16"/>
  <c r="K57" i="16"/>
  <c r="K44" i="16"/>
  <c r="K43" i="16"/>
  <c r="K41" i="16"/>
  <c r="K40" i="16"/>
  <c r="K39" i="16"/>
  <c r="K38" i="16"/>
  <c r="K35" i="16"/>
  <c r="K28" i="16"/>
  <c r="K27" i="16"/>
  <c r="K9" i="16"/>
  <c r="K8" i="16"/>
  <c r="K7" i="16"/>
  <c r="K6" i="16"/>
  <c r="K5" i="16"/>
  <c r="K4" i="16"/>
  <c r="K3" i="16"/>
  <c r="K2" i="16"/>
  <c r="H63" i="16"/>
  <c r="H62" i="16"/>
  <c r="H61" i="16"/>
  <c r="H60" i="16"/>
  <c r="H59" i="16"/>
  <c r="H58" i="16"/>
  <c r="H57" i="16"/>
  <c r="H44" i="16"/>
  <c r="H43" i="16"/>
  <c r="H41" i="16"/>
  <c r="H40" i="16"/>
  <c r="H39" i="16"/>
  <c r="H38" i="16"/>
  <c r="H37" i="16"/>
  <c r="H36" i="16"/>
  <c r="H35" i="16"/>
  <c r="H28" i="16"/>
  <c r="H27" i="16"/>
  <c r="H9" i="16"/>
  <c r="H8" i="16"/>
  <c r="H7" i="16"/>
  <c r="H6" i="16"/>
  <c r="H5" i="16"/>
  <c r="H4" i="16"/>
  <c r="H3" i="16"/>
  <c r="H2" i="16"/>
  <c r="I27" i="16"/>
  <c r="I19" i="16"/>
  <c r="I18" i="16"/>
  <c r="I17" i="16"/>
  <c r="I16" i="16"/>
  <c r="G52" i="16"/>
  <c r="G51" i="16"/>
  <c r="G50" i="16"/>
  <c r="G49" i="16"/>
  <c r="G48" i="16"/>
  <c r="G47" i="16"/>
  <c r="G46" i="16"/>
  <c r="G45" i="16"/>
  <c r="G42" i="16"/>
  <c r="G41" i="16"/>
  <c r="G40" i="16"/>
  <c r="G34" i="16"/>
  <c r="G33" i="16"/>
  <c r="G32" i="16"/>
  <c r="G31" i="16"/>
  <c r="G30" i="16"/>
  <c r="G29" i="16"/>
  <c r="G28" i="16"/>
  <c r="G27" i="16"/>
</calcChain>
</file>

<file path=xl/sharedStrings.xml><?xml version="1.0" encoding="utf-8"?>
<sst xmlns="http://schemas.openxmlformats.org/spreadsheetml/2006/main" count="220" uniqueCount="186">
  <si>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</si>
  <si>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</si>
  <si>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</si>
  <si>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</si>
  <si>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</si>
  <si>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</si>
  <si>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</si>
  <si>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</si>
  <si>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</si>
  <si>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</si>
  <si>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</si>
  <si>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</si>
  <si>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</si>
  <si>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</si>
  <si>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</si>
  <si>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</si>
  <si>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</si>
  <si>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</si>
  <si>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</si>
  <si>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</si>
  <si>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</si>
  <si>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</si>
  <si>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</si>
  <si>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</si>
  <si>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</si>
  <si>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</si>
  <si>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</si>
  <si>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</si>
  <si>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</si>
  <si>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</si>
  <si>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</si>
  <si>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14YB481</t>
  </si>
  <si>
    <t>14RB481</t>
  </si>
  <si>
    <t>14WB481</t>
  </si>
  <si>
    <t>14YB482</t>
  </si>
  <si>
    <t>14RB482</t>
  </si>
  <si>
    <t>14WB482</t>
  </si>
  <si>
    <t>14YB483</t>
  </si>
  <si>
    <t>14RB483</t>
  </si>
  <si>
    <t>14YB484</t>
  </si>
  <si>
    <t>14YB485</t>
  </si>
  <si>
    <t>14YB486</t>
  </si>
  <si>
    <t>14WE402</t>
  </si>
  <si>
    <t>14YE403</t>
  </si>
  <si>
    <t>14RE403</t>
  </si>
  <si>
    <t>14YE404</t>
  </si>
  <si>
    <t>14RE404</t>
  </si>
  <si>
    <t>14YE405</t>
  </si>
  <si>
    <t>14RE405</t>
  </si>
  <si>
    <t>14YE406</t>
  </si>
  <si>
    <t>14RE406</t>
  </si>
  <si>
    <t>14YE407</t>
  </si>
  <si>
    <t>14RE407</t>
  </si>
  <si>
    <t>14WE407</t>
  </si>
  <si>
    <t>14YE408</t>
  </si>
  <si>
    <t>14YE409</t>
  </si>
  <si>
    <t>14YE410</t>
  </si>
  <si>
    <t>14RE410</t>
  </si>
  <si>
    <t>14YE411</t>
  </si>
  <si>
    <t>14YE412</t>
  </si>
  <si>
    <t>14RE412</t>
  </si>
  <si>
    <t>14YE413</t>
  </si>
  <si>
    <t>14RE413</t>
  </si>
  <si>
    <t>14WE413</t>
  </si>
  <si>
    <t>14YN1154</t>
  </si>
  <si>
    <t>14RN1154</t>
  </si>
  <si>
    <t>14WN1154</t>
  </si>
  <si>
    <t>14YN1155</t>
  </si>
  <si>
    <t>14RN1155</t>
  </si>
  <si>
    <t>14YN1156</t>
  </si>
  <si>
    <t>14RN1156</t>
  </si>
  <si>
    <t>14YC266</t>
  </si>
  <si>
    <t>14YC267</t>
  </si>
  <si>
    <t>14WC267</t>
  </si>
  <si>
    <t>14YC268</t>
  </si>
  <si>
    <t>14WC268</t>
  </si>
  <si>
    <t>14YC269</t>
  </si>
  <si>
    <t>14RC269</t>
  </si>
  <si>
    <t>14WC269</t>
  </si>
  <si>
    <t>14K YG Dia Bangle</t>
  </si>
  <si>
    <t>14K RG Dia Bangle</t>
  </si>
  <si>
    <t>14K WG Dia Bangle</t>
  </si>
  <si>
    <t>14K YG &amp; Dia open Bangle with W.Topaz</t>
  </si>
  <si>
    <t>14K RG &amp; Dia open Bangle with W.Topaz</t>
  </si>
  <si>
    <t>14K YG Dia &amp; 2.8 Emerald bangle 58x48</t>
  </si>
  <si>
    <t>14K YG &amp; Dia Bangle 55x47mm</t>
  </si>
  <si>
    <t>14K YG &amp; Dia 9mm wide link Bracelet 7.5"</t>
  </si>
  <si>
    <t>14K WG &amp; Dia  - 17x6 Blue Topaz Ear Ring</t>
  </si>
  <si>
    <t>14K YG &amp; Dia - 2.75" Dblet Opal Ear Ring</t>
  </si>
  <si>
    <t>14K RG &amp; Dia - 2.75" Dblet Opal Ear Ring</t>
  </si>
  <si>
    <t>14K YG &amp; Dia Top / Rose 2.75" Ear Ring</t>
  </si>
  <si>
    <t>14K RG &amp; Dia Top / Rose 2.75" Ear Ring</t>
  </si>
  <si>
    <t>14K YG &amp; Dia Top / B Topaz  2.5" Ear Ring</t>
  </si>
  <si>
    <t>14K RG &amp; Dia Top / B Topaz  2.5" Ear Ring</t>
  </si>
  <si>
    <t>14K YG &amp; Dia Topaz 2.75" Ear Ring</t>
  </si>
  <si>
    <t>14K RG &amp; Dia Topaz 2.75" Ear Ring</t>
  </si>
  <si>
    <t>14K YG &amp; Dia - 6x8 Octa Lab Studs</t>
  </si>
  <si>
    <t>14K RG &amp; Dia - 6x8 Octa Lab Studs</t>
  </si>
  <si>
    <t>14K WG &amp; Dia - 6x8 Octa Lab Studs</t>
  </si>
  <si>
    <t>14K YG &amp; Dia - 5x3 B Sapphire 1.5"long</t>
  </si>
  <si>
    <t>14K YG &amp; Dia - 5x3 Emerald 1.5"long</t>
  </si>
  <si>
    <t>14K YG &amp; Dia - 12mm Star Studs with 3mm Turq</t>
  </si>
  <si>
    <t>14K RG &amp; Dia - 12mm Star Studs with 3mm Turq</t>
  </si>
  <si>
    <t>14K YG &amp; Blue Sapphire 12x7mm Butterfly studs</t>
  </si>
  <si>
    <t xml:space="preserve">14K YG &amp; Dia - 4mm Triangle Lab Studs </t>
  </si>
  <si>
    <t xml:space="preserve">14K RG &amp; Dia - 4mm Triangle Lab Studs </t>
  </si>
  <si>
    <t>14K YG &amp; Dia  - 6mm Heart Studs</t>
  </si>
  <si>
    <t>14K RG &amp; Dia  - 6mm Heart Studs</t>
  </si>
  <si>
    <t>14K WG &amp; Dia  - 6mm Heart Studs</t>
  </si>
  <si>
    <t>14K YG &amp; Dia  - 11x11 Butterfly neckalce 16+2"</t>
  </si>
  <si>
    <t>14K RG &amp; Dia  - 11x11 Butterfly neckalce 16+2"</t>
  </si>
  <si>
    <t>14K WG &amp; Dia  - 11x11 Butterfly neckalce 16+2"</t>
  </si>
  <si>
    <t>14K YG &amp; Dia - Necklcae 15x35 B onyx with Charms 30"</t>
  </si>
  <si>
    <t>14K RG &amp; Dia - Necklcae 15x35 B onyx with Charms 30"</t>
  </si>
  <si>
    <t>14K YG &amp; Dia  - Bolo 8mm Heart Neckalce 30"</t>
  </si>
  <si>
    <t>14K RG &amp; Dia  - Bolo 8mm Heart Neckalce 30"</t>
  </si>
  <si>
    <t xml:space="preserve">14K YG &amp; Tsavorite 15.5x6mm Cactus Charm </t>
  </si>
  <si>
    <t>14K YG &amp; Dia - 14x16 Octopus charm</t>
  </si>
  <si>
    <t>14K WG &amp; Dia - 14x16 Octopus charm</t>
  </si>
  <si>
    <t>14K YG &amp; Dia  - 10mm Paw Print charm</t>
  </si>
  <si>
    <t>14K WG &amp; Dia  - 10mm Paw Print charm</t>
  </si>
  <si>
    <t>14K YG &amp; Dia -  13mm Jew. Star of david charm</t>
  </si>
  <si>
    <t>14K RG &amp; Dia -  13mm Jew. Star of david charm</t>
  </si>
  <si>
    <t>14K WG &amp; Dia -  13mm Jew. Star of david charm</t>
  </si>
  <si>
    <t>7.5"</t>
  </si>
  <si>
    <t>B08548F</t>
  </si>
  <si>
    <t>B08588FQ</t>
  </si>
  <si>
    <t>B08694Q</t>
  </si>
  <si>
    <t>B08887Q</t>
  </si>
  <si>
    <t>B09023Q</t>
  </si>
  <si>
    <t>T08463Q</t>
  </si>
  <si>
    <t>E08325Q</t>
  </si>
  <si>
    <t>E08572Q</t>
  </si>
  <si>
    <t>E08573Q</t>
  </si>
  <si>
    <t>E08574Q</t>
  </si>
  <si>
    <t>E08577Q</t>
  </si>
  <si>
    <t>E08754Q</t>
  </si>
  <si>
    <t>E08770Q</t>
  </si>
  <si>
    <t>E08771Q</t>
  </si>
  <si>
    <t>E08784Q</t>
  </si>
  <si>
    <t>E08893Q</t>
  </si>
  <si>
    <t>E09125Q</t>
  </si>
  <si>
    <t>E09131F</t>
  </si>
  <si>
    <t>N08460FQ</t>
  </si>
  <si>
    <t>N08570FQ</t>
  </si>
  <si>
    <t>N09130FQ</t>
  </si>
  <si>
    <t>P08905Q</t>
  </si>
  <si>
    <t>P08915Q</t>
  </si>
  <si>
    <t>P08948Q</t>
  </si>
  <si>
    <t>P09001Q</t>
  </si>
  <si>
    <t>R08199Q</t>
  </si>
  <si>
    <t>R08457Q</t>
  </si>
  <si>
    <t>R08718Q</t>
  </si>
  <si>
    <t>R08792FQ</t>
  </si>
  <si>
    <t>R08814Q</t>
  </si>
  <si>
    <t>R09072FQ</t>
  </si>
  <si>
    <t>5.43</t>
  </si>
  <si>
    <t>5.31</t>
  </si>
  <si>
    <t>14YR918</t>
  </si>
  <si>
    <t>14RR918</t>
  </si>
  <si>
    <t>14WR918</t>
  </si>
  <si>
    <t>14YR919</t>
  </si>
  <si>
    <t>14RR919</t>
  </si>
  <si>
    <t>14WR919</t>
  </si>
  <si>
    <t>14YR920</t>
  </si>
  <si>
    <t>14YR921</t>
  </si>
  <si>
    <t>14RR921</t>
  </si>
  <si>
    <t>14WR921</t>
  </si>
  <si>
    <t>14YR922</t>
  </si>
  <si>
    <t>14YR923</t>
  </si>
  <si>
    <t>14RR923</t>
  </si>
  <si>
    <t>14WR923</t>
  </si>
  <si>
    <t>14K YG &amp; Dia - 2 cross Ring - Size 6,7</t>
  </si>
  <si>
    <t>14K RG &amp; Dia - 2 cross Ring - Size 6,7</t>
  </si>
  <si>
    <t>14K WG &amp; Dia - 2 cross Ring - Size 6,7</t>
  </si>
  <si>
    <t>14K YG &amp; Dia - Nail Ring - Size 6,7</t>
  </si>
  <si>
    <t>14K RG &amp; Dia - Nail Ring - Size 6,7</t>
  </si>
  <si>
    <t>14K WG &amp; Dia - Nail Ring - Size 6,7</t>
  </si>
  <si>
    <t>14K YG &amp; Dia Emerald Band - Size 6,7</t>
  </si>
  <si>
    <t>14K YG &amp; Dia - Infinity band Size 6,7</t>
  </si>
  <si>
    <t>14K RG &amp; Dia - Infinity band Size 6,7</t>
  </si>
  <si>
    <t>14K WG &amp; Dia - Infinity band Size 6,7</t>
  </si>
  <si>
    <t>14K YG &amp; Dia  Leaf ring - Size 6,7</t>
  </si>
  <si>
    <t>14K YG &amp; Dia  - 4 butterfly Ring - Size 6,7</t>
  </si>
  <si>
    <t>14K RG &amp; Dia  - 4 butterfly Ring - Size 6,7</t>
  </si>
  <si>
    <t>14K WG &amp; Dia  - 4 butterfly Ring - Size 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</si>
</sst>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₹-4009]\ #,##0;[Red][$₹-4009]\ #,##0"/>
    <numFmt numFmtId="165" formatCode="&quot;$&quot;#,##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0432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</cellXfs>
  <cellStyles count="8"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tabSelected="1" zoomScaleNormal="100"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1" width="17.42578125" style="20" customWidth="1"/>
    <col min="2" max="2" width="16.42578125" style="18" customWidth="1"/>
    <col min="3" max="3" width="17.42578125" style="1" customWidth="1"/>
    <col min="4" max="4" width="17.7109375" customWidth="1"/>
    <col min="5" max="5" width="41" style="1" customWidth="1"/>
    <col min="6" max="6" width="9.140625" style="3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2" customWidth="1"/>
    <col min="14" max="14" width="17.42578125" style="1" customWidth="1"/>
    <col min="15" max="214" width="11" customWidth="1"/>
  </cols>
  <sheetData>
    <row r="1" spans="1:14" s="6" customFormat="1" ht="32.25" customHeight="1" x14ac:dyDescent="0.25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x14ac:dyDescent="0.25">
      <c r="A2" s="23">
        <v>248</v>
      </c>
      <c r="B2" s="21" t="s">
        <v>125</v>
      </c>
      <c r="C2" s="21" t="s">
        <v>31</v>
      </c>
      <c r="E2" s="21" t="s">
        <v>79</v>
      </c>
      <c r="F2" s="21"/>
      <c r="G2" s="25">
        <v>7.32</v>
      </c>
      <c r="H2" s="18">
        <f>0.484+0.087+0.176</f>
        <v>0.74699999999999989</v>
      </c>
      <c r="I2" s="18"/>
      <c r="J2" s="18">
        <v>7.1710000000000003</v>
      </c>
      <c r="K2" s="18">
        <f>66+34+42</f>
        <v>142</v>
      </c>
      <c r="L2" s="26">
        <v>2036</v>
      </c>
      <c r="M2" s="18">
        <v>1</v>
      </c>
      <c r="N2" s="18">
        <v>584</v>
      </c>
    </row>
    <row r="3" spans="1:14" x14ac:dyDescent="0.25">
      <c r="A3" s="23">
        <v>248</v>
      </c>
      <c r="B3" s="21" t="s">
        <v>125</v>
      </c>
      <c r="C3" s="21" t="s">
        <v>32</v>
      </c>
      <c r="E3" s="21" t="s">
        <v>80</v>
      </c>
      <c r="F3" s="21"/>
      <c r="G3" s="25">
        <v>7.62</v>
      </c>
      <c r="H3" s="18">
        <f>0.489+0.089+0.18</f>
        <v>0.75800000000000001</v>
      </c>
      <c r="I3" s="18"/>
      <c r="J3" s="18">
        <v>7.4630000000000001</v>
      </c>
      <c r="K3" s="18">
        <f>66+34+42</f>
        <v>142</v>
      </c>
      <c r="L3" s="26">
        <v>2079</v>
      </c>
      <c r="M3" s="18">
        <v>1</v>
      </c>
      <c r="N3" s="18">
        <v>584</v>
      </c>
    </row>
    <row r="4" spans="1:14" x14ac:dyDescent="0.25">
      <c r="A4" s="23">
        <v>248</v>
      </c>
      <c r="B4" s="21" t="s">
        <v>125</v>
      </c>
      <c r="C4" s="21" t="s">
        <v>33</v>
      </c>
      <c r="E4" s="21" t="s">
        <v>81</v>
      </c>
      <c r="F4" s="21"/>
      <c r="G4" s="25">
        <v>7.37</v>
      </c>
      <c r="H4" s="18">
        <f>0.481+0.095+0.176</f>
        <v>0.752</v>
      </c>
      <c r="I4" s="18"/>
      <c r="J4" s="18">
        <v>7.218</v>
      </c>
      <c r="K4" s="18">
        <f>66+34+42</f>
        <v>142</v>
      </c>
      <c r="L4" s="26">
        <v>2042</v>
      </c>
      <c r="M4" s="18">
        <v>1</v>
      </c>
      <c r="N4" s="18">
        <v>584</v>
      </c>
    </row>
    <row r="5" spans="1:14" x14ac:dyDescent="0.25">
      <c r="A5" s="23">
        <v>248</v>
      </c>
      <c r="B5" s="21" t="s">
        <v>126</v>
      </c>
      <c r="C5" s="21" t="s">
        <v>34</v>
      </c>
      <c r="E5" s="21" t="s">
        <v>79</v>
      </c>
      <c r="F5" s="21"/>
      <c r="G5" s="25">
        <v>6.95</v>
      </c>
      <c r="H5" s="18">
        <f>0.344+0.097+0.187</f>
        <v>0.62799999999999989</v>
      </c>
      <c r="I5" s="18"/>
      <c r="J5" s="18">
        <v>6.82</v>
      </c>
      <c r="K5" s="18">
        <f>46+34+42</f>
        <v>122</v>
      </c>
      <c r="L5" s="26">
        <v>1874</v>
      </c>
      <c r="M5" s="18">
        <v>1</v>
      </c>
      <c r="N5" s="18">
        <v>584</v>
      </c>
    </row>
    <row r="6" spans="1:14" x14ac:dyDescent="0.25">
      <c r="A6" s="23">
        <v>248</v>
      </c>
      <c r="B6" s="21" t="s">
        <v>126</v>
      </c>
      <c r="C6" s="21" t="s">
        <v>35</v>
      </c>
      <c r="E6" s="21" t="s">
        <v>80</v>
      </c>
      <c r="F6" s="21"/>
      <c r="G6" s="25">
        <v>6.51</v>
      </c>
      <c r="H6" s="18">
        <f>0.355+0.088+0.193</f>
        <v>0.6359999999999999</v>
      </c>
      <c r="I6" s="18"/>
      <c r="J6" s="18">
        <v>6.3769999999999998</v>
      </c>
      <c r="K6" s="18">
        <f>46+34+42</f>
        <v>122</v>
      </c>
      <c r="L6" s="26">
        <v>1844</v>
      </c>
      <c r="M6" s="18">
        <v>1</v>
      </c>
      <c r="N6" s="18">
        <v>584</v>
      </c>
    </row>
    <row r="7" spans="1:14" x14ac:dyDescent="0.25">
      <c r="A7" s="23">
        <v>248</v>
      </c>
      <c r="B7" s="21" t="s">
        <v>126</v>
      </c>
      <c r="C7" s="21" t="s">
        <v>36</v>
      </c>
      <c r="E7" s="21" t="s">
        <v>81</v>
      </c>
      <c r="F7" s="21"/>
      <c r="G7" s="25">
        <v>6.83</v>
      </c>
      <c r="H7" s="18">
        <f>0.347+0.085+0.183</f>
        <v>0.61499999999999999</v>
      </c>
      <c r="I7" s="18"/>
      <c r="J7" s="18">
        <v>6.7119999999999997</v>
      </c>
      <c r="K7" s="18">
        <f>46+34+42</f>
        <v>122</v>
      </c>
      <c r="L7" s="26">
        <v>1854</v>
      </c>
      <c r="M7" s="18">
        <v>1</v>
      </c>
      <c r="N7" s="18">
        <v>584</v>
      </c>
    </row>
    <row r="8" spans="1:14" x14ac:dyDescent="0.25">
      <c r="A8" s="23">
        <v>248</v>
      </c>
      <c r="B8" s="21" t="s">
        <v>127</v>
      </c>
      <c r="C8" s="21" t="s">
        <v>37</v>
      </c>
      <c r="E8" s="21" t="s">
        <v>82</v>
      </c>
      <c r="F8" s="21"/>
      <c r="G8" s="25">
        <v>11.54</v>
      </c>
      <c r="H8" s="18">
        <f>0.479+0.472</f>
        <v>0.95099999999999996</v>
      </c>
      <c r="I8" s="18">
        <v>0.15</v>
      </c>
      <c r="J8" s="18">
        <v>11.317</v>
      </c>
      <c r="K8" s="18">
        <f>186+134</f>
        <v>320</v>
      </c>
      <c r="L8" s="26">
        <v>2689</v>
      </c>
      <c r="M8" s="18">
        <v>1</v>
      </c>
      <c r="N8" s="18">
        <v>584</v>
      </c>
    </row>
    <row r="9" spans="1:14" x14ac:dyDescent="0.25">
      <c r="A9" s="23">
        <v>248</v>
      </c>
      <c r="B9" s="21" t="s">
        <v>127</v>
      </c>
      <c r="C9" s="21" t="s">
        <v>38</v>
      </c>
      <c r="E9" s="21" t="s">
        <v>83</v>
      </c>
      <c r="F9" s="21"/>
      <c r="G9" s="25">
        <v>11.68</v>
      </c>
      <c r="H9" s="18">
        <f>0.6+0.58</f>
        <v>1.18</v>
      </c>
      <c r="I9" s="18">
        <v>0.14000000000000001</v>
      </c>
      <c r="J9" s="18">
        <v>11.455</v>
      </c>
      <c r="K9" s="18">
        <f>186+134</f>
        <v>320</v>
      </c>
      <c r="L9" s="26">
        <v>2904</v>
      </c>
      <c r="M9" s="18">
        <v>1</v>
      </c>
      <c r="N9" s="18">
        <v>584</v>
      </c>
    </row>
    <row r="10" spans="1:14" x14ac:dyDescent="0.25">
      <c r="A10" s="23">
        <v>248</v>
      </c>
      <c r="B10" s="21" t="s">
        <v>128</v>
      </c>
      <c r="C10" s="21" t="s">
        <v>39</v>
      </c>
      <c r="E10" s="21" t="s">
        <v>84</v>
      </c>
      <c r="F10" s="21"/>
      <c r="G10" s="25">
        <v>12.79</v>
      </c>
      <c r="H10" s="18">
        <v>0.505</v>
      </c>
      <c r="I10" s="18">
        <v>0.621</v>
      </c>
      <c r="J10" s="18">
        <v>12.568</v>
      </c>
      <c r="K10" s="18">
        <v>197</v>
      </c>
      <c r="L10" s="26">
        <v>2465</v>
      </c>
      <c r="M10" s="18">
        <v>1</v>
      </c>
      <c r="N10" s="18">
        <v>584</v>
      </c>
    </row>
    <row r="11" spans="1:14" x14ac:dyDescent="0.25">
      <c r="A11" s="23">
        <v>248</v>
      </c>
      <c r="B11" s="21" t="s">
        <v>129</v>
      </c>
      <c r="C11" s="21" t="s">
        <v>40</v>
      </c>
      <c r="E11" s="21" t="s">
        <v>85</v>
      </c>
      <c r="F11" s="21"/>
      <c r="G11" s="25">
        <v>15.27</v>
      </c>
      <c r="H11" s="18">
        <v>15.095000000000001</v>
      </c>
      <c r="I11" s="18"/>
      <c r="J11" s="18">
        <v>0.86099999999999999</v>
      </c>
      <c r="K11" s="18">
        <v>312</v>
      </c>
      <c r="L11" s="26">
        <v>2877</v>
      </c>
      <c r="M11" s="18">
        <v>1</v>
      </c>
      <c r="N11" s="18">
        <v>584</v>
      </c>
    </row>
    <row r="12" spans="1:14" x14ac:dyDescent="0.25">
      <c r="A12" s="23">
        <v>248</v>
      </c>
      <c r="B12" s="21" t="s">
        <v>130</v>
      </c>
      <c r="C12" s="21" t="s">
        <v>41</v>
      </c>
      <c r="E12" s="21" t="s">
        <v>86</v>
      </c>
      <c r="F12" s="21" t="s">
        <v>124</v>
      </c>
      <c r="G12" s="25">
        <v>25.17</v>
      </c>
      <c r="H12" s="18">
        <v>3.5390000000000001</v>
      </c>
      <c r="I12" s="18"/>
      <c r="J12" s="18">
        <v>24.459</v>
      </c>
      <c r="K12" s="18">
        <v>1548</v>
      </c>
      <c r="L12" s="26">
        <v>7669</v>
      </c>
      <c r="M12" s="18">
        <v>1</v>
      </c>
      <c r="N12" s="18">
        <v>584</v>
      </c>
    </row>
    <row r="13" spans="1:14" x14ac:dyDescent="0.25">
      <c r="A13" s="23">
        <v>248</v>
      </c>
      <c r="B13" s="21" t="s">
        <v>131</v>
      </c>
      <c r="C13" s="21" t="s">
        <v>42</v>
      </c>
      <c r="E13" s="21" t="s">
        <v>87</v>
      </c>
      <c r="F13" s="21"/>
      <c r="G13" s="25">
        <v>6.82</v>
      </c>
      <c r="H13" s="18">
        <v>0.40600000000000003</v>
      </c>
      <c r="I13" s="18">
        <v>11.7</v>
      </c>
      <c r="J13" s="18">
        <v>4.3979999999999997</v>
      </c>
      <c r="K13" s="18">
        <v>110</v>
      </c>
      <c r="L13" s="26">
        <v>1329</v>
      </c>
      <c r="M13" s="18">
        <v>1</v>
      </c>
      <c r="N13" s="18">
        <v>581</v>
      </c>
    </row>
    <row r="14" spans="1:14" x14ac:dyDescent="0.25">
      <c r="A14" s="23">
        <v>248</v>
      </c>
      <c r="B14" s="21" t="s">
        <v>132</v>
      </c>
      <c r="C14" s="21" t="s">
        <v>43</v>
      </c>
      <c r="E14" s="21" t="s">
        <v>88</v>
      </c>
      <c r="F14" s="21"/>
      <c r="G14" s="25">
        <v>8.4700000000000006</v>
      </c>
      <c r="H14" s="18">
        <v>0.66500000000000004</v>
      </c>
      <c r="I14" s="18">
        <v>16.693999999999999</v>
      </c>
      <c r="J14" s="25">
        <v>4.9939999999999998</v>
      </c>
      <c r="K14" s="18">
        <v>246</v>
      </c>
      <c r="L14" s="26">
        <v>1676</v>
      </c>
      <c r="M14" s="18">
        <v>1</v>
      </c>
      <c r="N14" s="18">
        <v>581</v>
      </c>
    </row>
    <row r="15" spans="1:14" x14ac:dyDescent="0.25">
      <c r="A15" s="23">
        <v>248</v>
      </c>
      <c r="B15" s="21" t="s">
        <v>132</v>
      </c>
      <c r="C15" s="21" t="s">
        <v>44</v>
      </c>
      <c r="E15" s="21" t="s">
        <v>89</v>
      </c>
      <c r="F15" s="21"/>
      <c r="G15" s="25">
        <v>8.6</v>
      </c>
      <c r="H15" s="18">
        <v>0.67200000000000004</v>
      </c>
      <c r="I15" s="18">
        <v>16.48</v>
      </c>
      <c r="J15" s="25">
        <v>5.1719999999999997</v>
      </c>
      <c r="K15" s="18">
        <v>246</v>
      </c>
      <c r="L15" s="26">
        <v>1699</v>
      </c>
      <c r="M15" s="18">
        <v>1</v>
      </c>
      <c r="N15" s="18">
        <v>581</v>
      </c>
    </row>
    <row r="16" spans="1:14" x14ac:dyDescent="0.25">
      <c r="A16" s="23">
        <v>248</v>
      </c>
      <c r="B16" s="21" t="s">
        <v>133</v>
      </c>
      <c r="C16" s="21" t="s">
        <v>45</v>
      </c>
      <c r="E16" s="21" t="s">
        <v>90</v>
      </c>
      <c r="F16" s="21"/>
      <c r="G16" s="25">
        <v>8.9</v>
      </c>
      <c r="H16" s="18">
        <v>0.59399999999999997</v>
      </c>
      <c r="I16" s="18">
        <f>15.2+3.63</f>
        <v>18.829999999999998</v>
      </c>
      <c r="J16" s="18">
        <v>5.0179999999999998</v>
      </c>
      <c r="K16" s="18">
        <v>228</v>
      </c>
      <c r="L16" s="26">
        <v>1795</v>
      </c>
      <c r="M16" s="18">
        <v>1</v>
      </c>
      <c r="N16" s="18">
        <v>581</v>
      </c>
    </row>
    <row r="17" spans="1:14" x14ac:dyDescent="0.25">
      <c r="A17" s="23">
        <v>248</v>
      </c>
      <c r="B17" s="21" t="s">
        <v>133</v>
      </c>
      <c r="C17" s="21" t="s">
        <v>46</v>
      </c>
      <c r="E17" s="21" t="s">
        <v>91</v>
      </c>
      <c r="F17" s="21"/>
      <c r="G17" s="25">
        <v>8.93</v>
      </c>
      <c r="H17" s="18">
        <v>0.61199999999999999</v>
      </c>
      <c r="I17" s="18">
        <f>15.75+3.56</f>
        <v>19.309999999999999</v>
      </c>
      <c r="J17" s="18">
        <v>4.9480000000000004</v>
      </c>
      <c r="K17" s="18">
        <v>228</v>
      </c>
      <c r="L17" s="26">
        <v>1824</v>
      </c>
      <c r="M17" s="18">
        <v>1</v>
      </c>
      <c r="N17" s="18">
        <v>581</v>
      </c>
    </row>
    <row r="18" spans="1:14" x14ac:dyDescent="0.25">
      <c r="A18" s="23">
        <v>248</v>
      </c>
      <c r="B18" s="21" t="s">
        <v>134</v>
      </c>
      <c r="C18" s="21" t="s">
        <v>47</v>
      </c>
      <c r="E18" s="21" t="s">
        <v>92</v>
      </c>
      <c r="F18" s="21"/>
      <c r="G18" s="25">
        <v>9.17</v>
      </c>
      <c r="H18" s="18">
        <v>0.61099999999999999</v>
      </c>
      <c r="I18" s="18">
        <f>4.49+14.92</f>
        <v>19.41</v>
      </c>
      <c r="J18" s="18">
        <v>5.1639999999999997</v>
      </c>
      <c r="K18" s="18">
        <v>224</v>
      </c>
      <c r="L18" s="26">
        <v>1623</v>
      </c>
      <c r="M18" s="18">
        <v>1</v>
      </c>
      <c r="N18" s="18">
        <v>581</v>
      </c>
    </row>
    <row r="19" spans="1:14" x14ac:dyDescent="0.25">
      <c r="A19" s="23">
        <v>248</v>
      </c>
      <c r="B19" s="21" t="s">
        <v>134</v>
      </c>
      <c r="C19" s="21" t="s">
        <v>48</v>
      </c>
      <c r="E19" s="21" t="s">
        <v>93</v>
      </c>
      <c r="F19" s="21"/>
      <c r="G19" s="25">
        <v>9.0679999999999996</v>
      </c>
      <c r="H19" s="18">
        <v>0.59199999999999997</v>
      </c>
      <c r="I19" s="18">
        <f>4.88+14.74</f>
        <v>19.62</v>
      </c>
      <c r="J19" s="18">
        <v>5.0190000000000001</v>
      </c>
      <c r="K19" s="18">
        <v>224</v>
      </c>
      <c r="L19" s="26">
        <v>1590</v>
      </c>
      <c r="M19" s="18">
        <v>1</v>
      </c>
      <c r="N19" s="18">
        <v>581</v>
      </c>
    </row>
    <row r="20" spans="1:14" x14ac:dyDescent="0.25">
      <c r="A20" s="23">
        <v>248</v>
      </c>
      <c r="B20" s="21" t="s">
        <v>135</v>
      </c>
      <c r="C20" s="21" t="s">
        <v>49</v>
      </c>
      <c r="E20" s="21" t="s">
        <v>94</v>
      </c>
      <c r="F20" s="21"/>
      <c r="G20" s="25">
        <v>8.0500000000000007</v>
      </c>
      <c r="H20" s="18">
        <v>0.67400000000000004</v>
      </c>
      <c r="I20" s="18">
        <v>13.93</v>
      </c>
      <c r="J20" s="18">
        <v>5.1239999999999997</v>
      </c>
      <c r="K20" s="18">
        <v>246</v>
      </c>
      <c r="L20" s="26">
        <v>1659</v>
      </c>
      <c r="M20" s="18">
        <v>1</v>
      </c>
      <c r="N20" s="18">
        <v>581</v>
      </c>
    </row>
    <row r="21" spans="1:14" x14ac:dyDescent="0.25">
      <c r="A21" s="23">
        <v>248</v>
      </c>
      <c r="B21" s="21" t="s">
        <v>135</v>
      </c>
      <c r="C21" s="21" t="s">
        <v>50</v>
      </c>
      <c r="E21" s="21" t="s">
        <v>95</v>
      </c>
      <c r="F21" s="21"/>
      <c r="G21" s="25">
        <v>8.14</v>
      </c>
      <c r="H21" s="18">
        <v>0.67800000000000005</v>
      </c>
      <c r="I21" s="18">
        <v>15.41</v>
      </c>
      <c r="J21" s="18">
        <v>4.9210000000000003</v>
      </c>
      <c r="K21" s="18">
        <v>246</v>
      </c>
      <c r="L21" s="26">
        <v>1653</v>
      </c>
      <c r="M21" s="18">
        <v>1</v>
      </c>
      <c r="N21" s="18">
        <v>581</v>
      </c>
    </row>
    <row r="22" spans="1:14" x14ac:dyDescent="0.25">
      <c r="A22" s="23">
        <v>248</v>
      </c>
      <c r="B22" s="21" t="s">
        <v>136</v>
      </c>
      <c r="C22" s="21" t="s">
        <v>51</v>
      </c>
      <c r="E22" s="21" t="s">
        <v>96</v>
      </c>
      <c r="F22" s="21"/>
      <c r="G22" s="25">
        <v>3.46</v>
      </c>
      <c r="H22" s="18">
        <v>4.2000000000000003E-2</v>
      </c>
      <c r="I22" s="18">
        <v>3.645</v>
      </c>
      <c r="J22" s="18">
        <v>0.99299999999999999</v>
      </c>
      <c r="K22" s="18">
        <v>14</v>
      </c>
      <c r="L22" s="26">
        <v>277</v>
      </c>
      <c r="M22" s="18">
        <v>2</v>
      </c>
      <c r="N22" s="18">
        <v>581</v>
      </c>
    </row>
    <row r="23" spans="1:14" x14ac:dyDescent="0.25">
      <c r="A23" s="23">
        <v>248</v>
      </c>
      <c r="B23" s="21" t="s">
        <v>136</v>
      </c>
      <c r="C23" s="21" t="s">
        <v>52</v>
      </c>
      <c r="E23" s="21" t="s">
        <v>97</v>
      </c>
      <c r="F23" s="21"/>
      <c r="G23" s="25">
        <v>3.51</v>
      </c>
      <c r="H23" s="18">
        <v>3.7999999999999999E-2</v>
      </c>
      <c r="I23" s="18">
        <v>3.8</v>
      </c>
      <c r="J23" s="18">
        <v>0.98699999999999999</v>
      </c>
      <c r="K23" s="18">
        <v>14</v>
      </c>
      <c r="L23" s="26">
        <v>273</v>
      </c>
      <c r="M23" s="18">
        <v>2</v>
      </c>
      <c r="N23" s="18">
        <v>581</v>
      </c>
    </row>
    <row r="24" spans="1:14" x14ac:dyDescent="0.25">
      <c r="A24" s="23">
        <v>248</v>
      </c>
      <c r="B24" s="21" t="s">
        <v>136</v>
      </c>
      <c r="C24" s="21" t="s">
        <v>53</v>
      </c>
      <c r="E24" s="21" t="s">
        <v>98</v>
      </c>
      <c r="F24" s="21"/>
      <c r="G24" s="25">
        <v>3.42</v>
      </c>
      <c r="H24" s="18">
        <v>3.9E-2</v>
      </c>
      <c r="I24" s="18">
        <v>3.61</v>
      </c>
      <c r="J24" s="18">
        <v>0.97799999999999998</v>
      </c>
      <c r="K24" s="18">
        <v>14</v>
      </c>
      <c r="L24" s="26">
        <v>273</v>
      </c>
      <c r="M24" s="18">
        <v>2</v>
      </c>
      <c r="N24" s="18">
        <v>581</v>
      </c>
    </row>
    <row r="25" spans="1:14" x14ac:dyDescent="0.25">
      <c r="A25" s="23">
        <v>248</v>
      </c>
      <c r="B25" s="21" t="s">
        <v>137</v>
      </c>
      <c r="C25" s="21" t="s">
        <v>54</v>
      </c>
      <c r="E25" s="21" t="s">
        <v>99</v>
      </c>
      <c r="F25" s="21"/>
      <c r="G25" s="25">
        <v>4</v>
      </c>
      <c r="H25" s="18">
        <v>0.32200000000000001</v>
      </c>
      <c r="I25" s="18">
        <v>1.202</v>
      </c>
      <c r="J25" s="18">
        <v>3.6920000000000002</v>
      </c>
      <c r="K25" s="18">
        <v>118</v>
      </c>
      <c r="L25" s="26">
        <v>1201</v>
      </c>
      <c r="M25" s="18">
        <v>1</v>
      </c>
      <c r="N25" s="18">
        <v>581</v>
      </c>
    </row>
    <row r="26" spans="1:14" x14ac:dyDescent="0.25">
      <c r="A26" s="23">
        <v>248</v>
      </c>
      <c r="B26" s="21" t="s">
        <v>138</v>
      </c>
      <c r="C26" s="21" t="s">
        <v>55</v>
      </c>
      <c r="E26" s="21" t="s">
        <v>100</v>
      </c>
      <c r="F26" s="21"/>
      <c r="G26" s="25">
        <v>3.97</v>
      </c>
      <c r="H26" s="18">
        <v>0.32800000000000001</v>
      </c>
      <c r="I26" s="18">
        <v>1.2110000000000001</v>
      </c>
      <c r="J26" s="18">
        <v>3.661</v>
      </c>
      <c r="K26" s="18">
        <v>124</v>
      </c>
      <c r="L26" s="26">
        <v>1402</v>
      </c>
      <c r="M26" s="18">
        <v>1</v>
      </c>
      <c r="N26" s="18">
        <v>581</v>
      </c>
    </row>
    <row r="27" spans="1:14" x14ac:dyDescent="0.25">
      <c r="A27" s="23">
        <v>248</v>
      </c>
      <c r="B27" s="21" t="s">
        <v>139</v>
      </c>
      <c r="C27" s="21" t="s">
        <v>56</v>
      </c>
      <c r="E27" s="22" t="s">
        <v>101</v>
      </c>
      <c r="F27" s="21"/>
      <c r="G27" s="25">
        <f>5.17/3</f>
        <v>1.7233333333333334</v>
      </c>
      <c r="H27" s="18">
        <f>0.077+0.064</f>
        <v>0.14100000000000001</v>
      </c>
      <c r="I27" s="18">
        <f>0.197</f>
        <v>0.19700000000000001</v>
      </c>
      <c r="J27" s="18">
        <v>1.6539999999999999</v>
      </c>
      <c r="K27" s="18">
        <f>32+16</f>
        <v>48</v>
      </c>
      <c r="L27" s="26">
        <v>442</v>
      </c>
      <c r="M27" s="18">
        <v>3</v>
      </c>
      <c r="N27" s="18">
        <v>581</v>
      </c>
    </row>
    <row r="28" spans="1:14" x14ac:dyDescent="0.25">
      <c r="A28" s="23">
        <v>248</v>
      </c>
      <c r="B28" s="21" t="s">
        <v>139</v>
      </c>
      <c r="C28" s="21" t="s">
        <v>57</v>
      </c>
      <c r="E28" s="22" t="s">
        <v>102</v>
      </c>
      <c r="F28" s="21"/>
      <c r="G28" s="25">
        <f>5.37/3</f>
        <v>1.79</v>
      </c>
      <c r="H28" s="18">
        <f>0.083+0.066</f>
        <v>0.14900000000000002</v>
      </c>
      <c r="I28" s="18">
        <v>0.19700000000000001</v>
      </c>
      <c r="J28" s="18">
        <v>1.7190000000000001</v>
      </c>
      <c r="K28" s="18">
        <f>32+16</f>
        <v>48</v>
      </c>
      <c r="L28" s="26">
        <v>458</v>
      </c>
      <c r="M28" s="18">
        <v>3</v>
      </c>
      <c r="N28" s="18">
        <v>581</v>
      </c>
    </row>
    <row r="29" spans="1:14" x14ac:dyDescent="0.25">
      <c r="A29" s="23">
        <v>248</v>
      </c>
      <c r="B29" s="21" t="s">
        <v>140</v>
      </c>
      <c r="C29" s="21" t="s">
        <v>58</v>
      </c>
      <c r="E29" s="21" t="s">
        <v>103</v>
      </c>
      <c r="F29" s="21"/>
      <c r="G29" s="25">
        <f>4.07/3</f>
        <v>1.3566666666666667</v>
      </c>
      <c r="H29" s="18"/>
      <c r="I29" s="18">
        <v>0.19400000000000001</v>
      </c>
      <c r="J29" s="18">
        <v>1.3180000000000001</v>
      </c>
      <c r="K29" s="18">
        <v>60</v>
      </c>
      <c r="L29" s="26">
        <v>363</v>
      </c>
      <c r="M29" s="18">
        <v>3</v>
      </c>
      <c r="N29" s="18">
        <v>581</v>
      </c>
    </row>
    <row r="30" spans="1:14" x14ac:dyDescent="0.25">
      <c r="A30" s="23">
        <v>248</v>
      </c>
      <c r="B30" s="21" t="s">
        <v>141</v>
      </c>
      <c r="C30" s="21" t="s">
        <v>59</v>
      </c>
      <c r="E30" s="21" t="s">
        <v>104</v>
      </c>
      <c r="F30" s="21"/>
      <c r="G30" s="25">
        <f>5.38/4</f>
        <v>1.345</v>
      </c>
      <c r="H30" s="18">
        <v>9.8000000000000004E-2</v>
      </c>
      <c r="I30" s="18">
        <v>0.495</v>
      </c>
      <c r="J30" s="18">
        <v>1.228</v>
      </c>
      <c r="K30" s="18">
        <v>30</v>
      </c>
      <c r="L30" s="26">
        <v>333</v>
      </c>
      <c r="M30" s="18">
        <v>4</v>
      </c>
      <c r="N30" s="18">
        <v>581</v>
      </c>
    </row>
    <row r="31" spans="1:14" x14ac:dyDescent="0.25">
      <c r="A31" s="23">
        <v>248</v>
      </c>
      <c r="B31" s="21" t="s">
        <v>141</v>
      </c>
      <c r="C31" s="21" t="s">
        <v>60</v>
      </c>
      <c r="E31" s="21" t="s">
        <v>105</v>
      </c>
      <c r="F31" s="21"/>
      <c r="G31" s="25">
        <f>2.7/2</f>
        <v>1.35</v>
      </c>
      <c r="H31" s="18">
        <v>0.1</v>
      </c>
      <c r="I31" s="18">
        <v>0.48</v>
      </c>
      <c r="J31" s="18">
        <v>1.2330000000000001</v>
      </c>
      <c r="K31" s="18">
        <v>30</v>
      </c>
      <c r="L31" s="26">
        <v>336</v>
      </c>
      <c r="M31" s="18">
        <v>2</v>
      </c>
      <c r="N31" s="18">
        <v>581</v>
      </c>
    </row>
    <row r="32" spans="1:14" x14ac:dyDescent="0.25">
      <c r="A32" s="23">
        <v>248</v>
      </c>
      <c r="B32" s="21" t="s">
        <v>142</v>
      </c>
      <c r="C32" s="21" t="s">
        <v>61</v>
      </c>
      <c r="E32" s="21" t="s">
        <v>106</v>
      </c>
      <c r="F32" s="21"/>
      <c r="G32" s="25">
        <f>3.41/3</f>
        <v>1.1366666666666667</v>
      </c>
      <c r="H32" s="18">
        <v>2.1000000000000001E-2</v>
      </c>
      <c r="I32" s="18"/>
      <c r="J32" s="18">
        <v>1.1339999999999999</v>
      </c>
      <c r="K32" s="18">
        <v>2</v>
      </c>
      <c r="L32" s="26">
        <v>204</v>
      </c>
      <c r="M32" s="18">
        <v>3</v>
      </c>
      <c r="N32" s="18">
        <v>581</v>
      </c>
    </row>
    <row r="33" spans="1:14" x14ac:dyDescent="0.25">
      <c r="A33" s="23">
        <v>248</v>
      </c>
      <c r="B33" s="21" t="s">
        <v>142</v>
      </c>
      <c r="C33" s="21" t="s">
        <v>62</v>
      </c>
      <c r="E33" s="21" t="s">
        <v>107</v>
      </c>
      <c r="F33" s="21"/>
      <c r="G33" s="25">
        <f>3.37/3</f>
        <v>1.1233333333333333</v>
      </c>
      <c r="H33" s="18">
        <v>0.02</v>
      </c>
      <c r="I33" s="18"/>
      <c r="J33" s="18">
        <v>1.1180000000000001</v>
      </c>
      <c r="K33" s="18">
        <v>2</v>
      </c>
      <c r="L33" s="26">
        <v>201</v>
      </c>
      <c r="M33" s="18">
        <v>3</v>
      </c>
      <c r="N33" s="18">
        <v>581</v>
      </c>
    </row>
    <row r="34" spans="1:14" x14ac:dyDescent="0.25">
      <c r="A34" s="23">
        <v>248</v>
      </c>
      <c r="B34" s="21" t="s">
        <v>142</v>
      </c>
      <c r="C34" s="21" t="s">
        <v>63</v>
      </c>
      <c r="E34" s="21" t="s">
        <v>108</v>
      </c>
      <c r="F34" s="21"/>
      <c r="G34" s="25">
        <f>3.43/3</f>
        <v>1.1433333333333333</v>
      </c>
      <c r="H34" s="18">
        <v>2.1000000000000001E-2</v>
      </c>
      <c r="I34" s="18"/>
      <c r="J34" s="18">
        <v>1.139</v>
      </c>
      <c r="K34" s="18">
        <v>2</v>
      </c>
      <c r="L34" s="26">
        <v>204</v>
      </c>
      <c r="M34" s="18">
        <v>3</v>
      </c>
      <c r="N34" s="18">
        <v>581</v>
      </c>
    </row>
    <row r="35" spans="1:14" x14ac:dyDescent="0.25">
      <c r="A35" s="23">
        <v>248</v>
      </c>
      <c r="B35" s="21" t="s">
        <v>143</v>
      </c>
      <c r="C35" s="21" t="s">
        <v>64</v>
      </c>
      <c r="E35" s="21" t="s">
        <v>109</v>
      </c>
      <c r="F35" s="21"/>
      <c r="G35" s="25">
        <v>2.2799999999999998</v>
      </c>
      <c r="H35" s="18">
        <f>0.016+0.011+0.143</f>
        <v>0.16999999999999998</v>
      </c>
      <c r="I35" s="18"/>
      <c r="J35" s="18">
        <v>2.2490000000000001</v>
      </c>
      <c r="K35" s="18">
        <f>61+2+1</f>
        <v>64</v>
      </c>
      <c r="L35" s="26">
        <v>570</v>
      </c>
      <c r="M35" s="18">
        <v>1</v>
      </c>
      <c r="N35" s="18">
        <v>589</v>
      </c>
    </row>
    <row r="36" spans="1:14" x14ac:dyDescent="0.25">
      <c r="A36" s="23">
        <v>248</v>
      </c>
      <c r="B36" s="21" t="s">
        <v>143</v>
      </c>
      <c r="C36" s="21" t="s">
        <v>65</v>
      </c>
      <c r="E36" s="21" t="s">
        <v>110</v>
      </c>
      <c r="F36" s="21"/>
      <c r="G36" s="25">
        <v>2.2029999999999998</v>
      </c>
      <c r="H36" s="18">
        <f>0.014+0.011+0.14</f>
        <v>0.16500000000000001</v>
      </c>
      <c r="I36" s="18"/>
      <c r="J36" s="18">
        <v>2.2029999999999998</v>
      </c>
      <c r="K36" s="18">
        <v>64</v>
      </c>
      <c r="L36" s="26">
        <v>561</v>
      </c>
      <c r="M36" s="18">
        <v>1</v>
      </c>
      <c r="N36" s="18">
        <v>589</v>
      </c>
    </row>
    <row r="37" spans="1:14" x14ac:dyDescent="0.25">
      <c r="A37" s="23">
        <v>248</v>
      </c>
      <c r="B37" s="21" t="s">
        <v>143</v>
      </c>
      <c r="C37" s="21" t="s">
        <v>66</v>
      </c>
      <c r="E37" s="21" t="s">
        <v>111</v>
      </c>
      <c r="F37" s="21"/>
      <c r="G37" s="25">
        <v>2.25</v>
      </c>
      <c r="H37" s="18">
        <f>0.015+0.011+0.144</f>
        <v>0.16999999999999998</v>
      </c>
      <c r="I37" s="18"/>
      <c r="J37" s="18">
        <v>2.2149999999999999</v>
      </c>
      <c r="K37" s="18">
        <v>64</v>
      </c>
      <c r="L37" s="26">
        <v>567</v>
      </c>
      <c r="M37" s="18">
        <v>1</v>
      </c>
      <c r="N37" s="18">
        <v>589</v>
      </c>
    </row>
    <row r="38" spans="1:14" x14ac:dyDescent="0.25">
      <c r="A38" s="23">
        <v>248</v>
      </c>
      <c r="B38" s="21" t="s">
        <v>144</v>
      </c>
      <c r="C38" s="21" t="s">
        <v>67</v>
      </c>
      <c r="E38" s="21" t="s">
        <v>112</v>
      </c>
      <c r="F38" s="21"/>
      <c r="G38" s="25">
        <v>7.57</v>
      </c>
      <c r="H38" s="18">
        <f>0.242+0.231</f>
        <v>0.47299999999999998</v>
      </c>
      <c r="I38" s="18">
        <v>15.44</v>
      </c>
      <c r="J38" s="18">
        <v>4.3849999999999998</v>
      </c>
      <c r="K38" s="18">
        <f>24+78</f>
        <v>102</v>
      </c>
      <c r="L38" s="26">
        <v>1392</v>
      </c>
      <c r="M38" s="18">
        <v>1</v>
      </c>
      <c r="N38" s="18">
        <v>589</v>
      </c>
    </row>
    <row r="39" spans="1:14" x14ac:dyDescent="0.25">
      <c r="A39" s="23">
        <v>248</v>
      </c>
      <c r="B39" s="21" t="s">
        <v>144</v>
      </c>
      <c r="C39" s="21" t="s">
        <v>68</v>
      </c>
      <c r="E39" s="21" t="s">
        <v>113</v>
      </c>
      <c r="F39" s="21"/>
      <c r="G39" s="25">
        <v>7.48</v>
      </c>
      <c r="H39" s="18">
        <f>0.233+0.225</f>
        <v>0.45800000000000002</v>
      </c>
      <c r="I39" s="18">
        <v>15.1</v>
      </c>
      <c r="J39" s="18">
        <v>4.3630000000000004</v>
      </c>
      <c r="K39" s="18">
        <f>24+78</f>
        <v>102</v>
      </c>
      <c r="L39" s="26">
        <v>1369</v>
      </c>
      <c r="M39" s="18">
        <v>1</v>
      </c>
      <c r="N39" s="18">
        <v>589</v>
      </c>
    </row>
    <row r="40" spans="1:14" x14ac:dyDescent="0.25">
      <c r="A40" s="23">
        <v>248</v>
      </c>
      <c r="B40" s="21" t="s">
        <v>145</v>
      </c>
      <c r="C40" s="21" t="s">
        <v>69</v>
      </c>
      <c r="E40" s="21" t="s">
        <v>114</v>
      </c>
      <c r="F40" s="21"/>
      <c r="G40" s="25">
        <f>5.08/2</f>
        <v>2.54</v>
      </c>
      <c r="H40" s="18">
        <f>0.016+0.039+0.023</f>
        <v>7.8E-2</v>
      </c>
      <c r="I40" s="18"/>
      <c r="J40" s="18">
        <v>2.5249999999999999</v>
      </c>
      <c r="K40" s="18">
        <f>2+16+6</f>
        <v>24</v>
      </c>
      <c r="L40" s="26">
        <v>488</v>
      </c>
      <c r="M40" s="18">
        <v>2</v>
      </c>
      <c r="N40" s="18">
        <v>589</v>
      </c>
    </row>
    <row r="41" spans="1:14" x14ac:dyDescent="0.25">
      <c r="A41" s="23">
        <v>248</v>
      </c>
      <c r="B41" s="21" t="s">
        <v>145</v>
      </c>
      <c r="C41" s="21" t="s">
        <v>70</v>
      </c>
      <c r="E41" s="21" t="s">
        <v>115</v>
      </c>
      <c r="F41" s="21"/>
      <c r="G41" s="25">
        <f>5/2</f>
        <v>2.5</v>
      </c>
      <c r="H41" s="18">
        <f>0.016+0.036+0.022</f>
        <v>7.3999999999999996E-2</v>
      </c>
      <c r="I41" s="18"/>
      <c r="J41" s="18">
        <v>2.484</v>
      </c>
      <c r="K41" s="18">
        <f>2+16+6</f>
        <v>24</v>
      </c>
      <c r="L41" s="26">
        <v>481</v>
      </c>
      <c r="M41" s="18">
        <v>2</v>
      </c>
      <c r="N41" s="18">
        <v>589</v>
      </c>
    </row>
    <row r="42" spans="1:14" x14ac:dyDescent="0.25">
      <c r="A42" s="23">
        <v>248</v>
      </c>
      <c r="B42" s="21" t="s">
        <v>146</v>
      </c>
      <c r="C42" s="21" t="s">
        <v>71</v>
      </c>
      <c r="E42" s="21" t="s">
        <v>116</v>
      </c>
      <c r="F42" s="21"/>
      <c r="G42" s="25">
        <f>4.06/6</f>
        <v>0.67666666666666664</v>
      </c>
      <c r="H42" s="18"/>
      <c r="I42" s="18">
        <v>0.123</v>
      </c>
      <c r="J42" s="18">
        <v>0.65300000000000002</v>
      </c>
      <c r="K42" s="18"/>
      <c r="L42" s="26">
        <v>168</v>
      </c>
      <c r="M42" s="18">
        <v>6</v>
      </c>
      <c r="N42" s="18">
        <v>5810</v>
      </c>
    </row>
    <row r="43" spans="1:14" x14ac:dyDescent="0.25">
      <c r="A43" s="23">
        <v>248</v>
      </c>
      <c r="B43" s="21" t="s">
        <v>147</v>
      </c>
      <c r="C43" s="21" t="s">
        <v>72</v>
      </c>
      <c r="E43" s="21" t="s">
        <v>117</v>
      </c>
      <c r="F43" s="21"/>
      <c r="G43" s="25">
        <v>1.1000000000000001</v>
      </c>
      <c r="H43" s="18">
        <f>0.01+0.14+0.125</f>
        <v>0.27500000000000002</v>
      </c>
      <c r="I43" s="18"/>
      <c r="J43" s="18">
        <v>1.05</v>
      </c>
      <c r="K43" s="18">
        <f>2+44+29</f>
        <v>75</v>
      </c>
      <c r="L43" s="26">
        <v>468</v>
      </c>
      <c r="M43" s="18">
        <v>1</v>
      </c>
      <c r="N43" s="18">
        <v>5810</v>
      </c>
    </row>
    <row r="44" spans="1:14" x14ac:dyDescent="0.25">
      <c r="A44" s="23">
        <v>248</v>
      </c>
      <c r="B44" s="21" t="s">
        <v>147</v>
      </c>
      <c r="C44" s="21" t="s">
        <v>73</v>
      </c>
      <c r="E44" s="21" t="s">
        <v>118</v>
      </c>
      <c r="F44" s="21"/>
      <c r="G44" s="25">
        <v>1.115</v>
      </c>
      <c r="H44" s="18">
        <f>0.008+0.109+0.123</f>
        <v>0.24</v>
      </c>
      <c r="I44" s="18"/>
      <c r="J44" s="18">
        <v>1.115</v>
      </c>
      <c r="K44" s="18">
        <f>2+44+29</f>
        <v>75</v>
      </c>
      <c r="L44" s="26">
        <v>448</v>
      </c>
      <c r="M44" s="18">
        <v>1</v>
      </c>
      <c r="N44" s="18">
        <v>5810</v>
      </c>
    </row>
    <row r="45" spans="1:14" x14ac:dyDescent="0.25">
      <c r="A45" s="23">
        <v>248</v>
      </c>
      <c r="B45" s="21" t="s">
        <v>148</v>
      </c>
      <c r="C45" s="21" t="s">
        <v>74</v>
      </c>
      <c r="E45" s="21" t="s">
        <v>119</v>
      </c>
      <c r="F45" s="21"/>
      <c r="G45" s="25">
        <f>1.69/2</f>
        <v>0.84499999999999997</v>
      </c>
      <c r="H45" s="18">
        <v>0.126</v>
      </c>
      <c r="I45" s="18"/>
      <c r="J45" s="18">
        <v>0.82</v>
      </c>
      <c r="K45" s="18">
        <v>45</v>
      </c>
      <c r="L45" s="26">
        <v>273</v>
      </c>
      <c r="M45" s="18">
        <v>2</v>
      </c>
      <c r="N45" s="18">
        <v>5810</v>
      </c>
    </row>
    <row r="46" spans="1:14" x14ac:dyDescent="0.25">
      <c r="A46" s="23">
        <v>248</v>
      </c>
      <c r="B46" s="21" t="s">
        <v>148</v>
      </c>
      <c r="C46" s="21" t="s">
        <v>75</v>
      </c>
      <c r="E46" s="21" t="s">
        <v>120</v>
      </c>
      <c r="F46" s="21"/>
      <c r="G46" s="25">
        <f>1.77/2</f>
        <v>0.88500000000000001</v>
      </c>
      <c r="H46" s="18">
        <v>0.161</v>
      </c>
      <c r="I46" s="18"/>
      <c r="J46" s="18">
        <v>0.85899999999999999</v>
      </c>
      <c r="K46" s="18">
        <v>45</v>
      </c>
      <c r="L46" s="26">
        <v>303</v>
      </c>
      <c r="M46" s="18">
        <v>2</v>
      </c>
      <c r="N46" s="18">
        <v>5810</v>
      </c>
    </row>
    <row r="47" spans="1:14" x14ac:dyDescent="0.25">
      <c r="A47" s="23">
        <v>248</v>
      </c>
      <c r="B47" s="21" t="s">
        <v>149</v>
      </c>
      <c r="C47" s="21" t="s">
        <v>76</v>
      </c>
      <c r="E47" s="21" t="s">
        <v>121</v>
      </c>
      <c r="F47" s="21"/>
      <c r="G47" s="25">
        <f>2.85/2</f>
        <v>1.425</v>
      </c>
      <c r="H47" s="18">
        <v>0.13500000000000001</v>
      </c>
      <c r="I47" s="18"/>
      <c r="J47" s="18">
        <v>1.3959999999999999</v>
      </c>
      <c r="K47" s="18">
        <v>48</v>
      </c>
      <c r="L47" s="26">
        <v>359</v>
      </c>
      <c r="M47" s="18">
        <v>2</v>
      </c>
      <c r="N47" s="18">
        <v>5810</v>
      </c>
    </row>
    <row r="48" spans="1:14" x14ac:dyDescent="0.25">
      <c r="A48" s="23">
        <v>248</v>
      </c>
      <c r="B48" s="21" t="s">
        <v>149</v>
      </c>
      <c r="C48" s="21" t="s">
        <v>77</v>
      </c>
      <c r="E48" s="21" t="s">
        <v>122</v>
      </c>
      <c r="F48" s="21"/>
      <c r="G48" s="25">
        <f>2.82/2</f>
        <v>1.41</v>
      </c>
      <c r="H48" s="18">
        <v>0.13200000000000001</v>
      </c>
      <c r="I48" s="18"/>
      <c r="J48" s="18">
        <v>1.381</v>
      </c>
      <c r="K48" s="18">
        <v>48</v>
      </c>
      <c r="L48" s="26">
        <v>356</v>
      </c>
      <c r="M48" s="18">
        <v>2</v>
      </c>
      <c r="N48" s="18">
        <v>5810</v>
      </c>
    </row>
    <row r="49" spans="1:14" x14ac:dyDescent="0.25">
      <c r="A49" s="23">
        <v>248</v>
      </c>
      <c r="B49" s="21" t="s">
        <v>149</v>
      </c>
      <c r="C49" s="21" t="s">
        <v>78</v>
      </c>
      <c r="E49" s="21" t="s">
        <v>123</v>
      </c>
      <c r="F49" s="21"/>
      <c r="G49" s="25">
        <f>3.11/2</f>
        <v>1.5549999999999999</v>
      </c>
      <c r="H49" s="18">
        <v>0.129</v>
      </c>
      <c r="I49" s="18"/>
      <c r="J49" s="18">
        <v>1.53</v>
      </c>
      <c r="K49" s="18">
        <v>48</v>
      </c>
      <c r="L49" s="26">
        <v>369</v>
      </c>
      <c r="M49" s="18">
        <v>2</v>
      </c>
      <c r="N49" s="18">
        <v>5810</v>
      </c>
    </row>
    <row r="50" spans="1:14" x14ac:dyDescent="0.25">
      <c r="A50" s="23">
        <v>248</v>
      </c>
      <c r="B50" s="24" t="s">
        <v>150</v>
      </c>
      <c r="C50" s="21" t="s">
        <v>158</v>
      </c>
      <c r="E50" s="21" t="s">
        <v>172</v>
      </c>
      <c r="F50" s="21">
        <v>6</v>
      </c>
      <c r="G50" s="25">
        <f>2.36/2</f>
        <v>1.18</v>
      </c>
      <c r="H50" s="18">
        <v>6.2E-2</v>
      </c>
      <c r="I50" s="18"/>
      <c r="J50" s="18">
        <v>1.1679999999999999</v>
      </c>
      <c r="K50" s="18">
        <v>24</v>
      </c>
      <c r="L50" s="26">
        <v>240</v>
      </c>
      <c r="M50" s="18">
        <v>2</v>
      </c>
      <c r="N50" s="18">
        <v>586</v>
      </c>
    </row>
    <row r="51" spans="1:14" x14ac:dyDescent="0.25">
      <c r="A51" s="23">
        <v>248</v>
      </c>
      <c r="B51" s="24" t="s">
        <v>150</v>
      </c>
      <c r="C51" s="21" t="s">
        <v>159</v>
      </c>
      <c r="E51" s="21" t="s">
        <v>173</v>
      </c>
      <c r="F51" s="21">
        <v>6</v>
      </c>
      <c r="G51" s="25">
        <f>2.31/2</f>
        <v>1.155</v>
      </c>
      <c r="H51" s="18">
        <v>6.5000000000000002E-2</v>
      </c>
      <c r="I51" s="18"/>
      <c r="J51" s="18">
        <v>1.143</v>
      </c>
      <c r="K51" s="18">
        <v>24</v>
      </c>
      <c r="L51" s="26">
        <v>240</v>
      </c>
      <c r="M51" s="18">
        <v>2</v>
      </c>
      <c r="N51" s="18">
        <v>586</v>
      </c>
    </row>
    <row r="52" spans="1:14" x14ac:dyDescent="0.25">
      <c r="A52" s="23">
        <v>248</v>
      </c>
      <c r="B52" s="24" t="s">
        <v>150</v>
      </c>
      <c r="C52" s="21" t="s">
        <v>160</v>
      </c>
      <c r="E52" s="21" t="s">
        <v>174</v>
      </c>
      <c r="F52" s="21">
        <v>6</v>
      </c>
      <c r="G52" s="25">
        <f>2.49/2</f>
        <v>1.2450000000000001</v>
      </c>
      <c r="H52" s="18">
        <v>6.7000000000000004E-2</v>
      </c>
      <c r="I52" s="18"/>
      <c r="J52" s="18">
        <v>1.2330000000000001</v>
      </c>
      <c r="K52" s="18">
        <v>24</v>
      </c>
      <c r="L52" s="26">
        <v>240</v>
      </c>
      <c r="M52" s="18">
        <v>2</v>
      </c>
      <c r="N52" s="18">
        <v>586</v>
      </c>
    </row>
    <row r="53" spans="1:14" x14ac:dyDescent="0.25">
      <c r="A53" s="23">
        <v>248</v>
      </c>
      <c r="B53" s="24" t="s">
        <v>151</v>
      </c>
      <c r="C53" s="21" t="s">
        <v>161</v>
      </c>
      <c r="E53" s="21" t="s">
        <v>175</v>
      </c>
      <c r="F53" s="21">
        <v>6</v>
      </c>
      <c r="G53" s="25">
        <v>3.67</v>
      </c>
      <c r="H53" s="18">
        <v>0.44500000000000001</v>
      </c>
      <c r="I53" s="18"/>
      <c r="J53" s="18">
        <v>3.577</v>
      </c>
      <c r="K53" s="18">
        <v>191</v>
      </c>
      <c r="L53" s="26">
        <v>1006</v>
      </c>
      <c r="M53" s="18">
        <v>1</v>
      </c>
      <c r="N53" s="18">
        <v>586</v>
      </c>
    </row>
    <row r="54" spans="1:14" x14ac:dyDescent="0.25">
      <c r="A54" s="23">
        <v>248</v>
      </c>
      <c r="B54" s="24" t="s">
        <v>151</v>
      </c>
      <c r="C54" s="21" t="s">
        <v>162</v>
      </c>
      <c r="E54" s="21" t="s">
        <v>176</v>
      </c>
      <c r="F54" s="21">
        <v>6</v>
      </c>
      <c r="G54" s="25">
        <v>3.54</v>
      </c>
      <c r="H54" s="18">
        <v>0.436</v>
      </c>
      <c r="I54" s="18"/>
      <c r="J54" s="18">
        <v>3.456</v>
      </c>
      <c r="K54" s="18">
        <v>191</v>
      </c>
      <c r="L54" s="26">
        <v>983</v>
      </c>
      <c r="M54" s="18">
        <v>1</v>
      </c>
      <c r="N54" s="18">
        <v>586</v>
      </c>
    </row>
    <row r="55" spans="1:14" x14ac:dyDescent="0.25">
      <c r="A55" s="23">
        <v>248</v>
      </c>
      <c r="B55" s="24" t="s">
        <v>151</v>
      </c>
      <c r="C55" s="21" t="s">
        <v>163</v>
      </c>
      <c r="E55" s="21" t="s">
        <v>177</v>
      </c>
      <c r="F55" s="21">
        <v>6</v>
      </c>
      <c r="G55" s="25">
        <v>3.53</v>
      </c>
      <c r="H55" s="18">
        <v>0.442</v>
      </c>
      <c r="I55" s="18"/>
      <c r="J55" s="18">
        <v>3.4430000000000001</v>
      </c>
      <c r="K55" s="18">
        <v>191</v>
      </c>
      <c r="L55" s="26">
        <v>996</v>
      </c>
      <c r="M55" s="18">
        <v>1</v>
      </c>
      <c r="N55" s="18">
        <v>586</v>
      </c>
    </row>
    <row r="56" spans="1:14" x14ac:dyDescent="0.25">
      <c r="A56" s="23">
        <v>248</v>
      </c>
      <c r="B56" s="21" t="s">
        <v>152</v>
      </c>
      <c r="C56" s="21" t="s">
        <v>164</v>
      </c>
      <c r="E56" s="21" t="s">
        <v>178</v>
      </c>
      <c r="F56" s="21">
        <v>6</v>
      </c>
      <c r="G56" s="25">
        <v>1.75</v>
      </c>
      <c r="H56" s="18">
        <v>0.28799999999999998</v>
      </c>
      <c r="I56" s="18">
        <v>0.25</v>
      </c>
      <c r="J56" s="18">
        <v>1.64</v>
      </c>
      <c r="K56" s="18">
        <v>99</v>
      </c>
      <c r="L56" s="26">
        <v>739</v>
      </c>
      <c r="M56" s="18">
        <v>1</v>
      </c>
      <c r="N56" s="18">
        <v>586</v>
      </c>
    </row>
    <row r="57" spans="1:14" x14ac:dyDescent="0.25">
      <c r="A57" s="23">
        <v>248</v>
      </c>
      <c r="B57" s="21" t="s">
        <v>153</v>
      </c>
      <c r="C57" s="21" t="s">
        <v>165</v>
      </c>
      <c r="E57" s="21" t="s">
        <v>179</v>
      </c>
      <c r="F57" s="21">
        <v>6</v>
      </c>
      <c r="G57" s="25">
        <v>2.02</v>
      </c>
      <c r="H57" s="18">
        <f>0.071+0.215</f>
        <v>0.28599999999999998</v>
      </c>
      <c r="I57" s="18"/>
      <c r="J57" s="18">
        <v>1.962</v>
      </c>
      <c r="K57" s="18">
        <f t="shared" ref="K57:K59" si="0">76+5</f>
        <v>81</v>
      </c>
      <c r="L57" s="26">
        <v>636</v>
      </c>
      <c r="M57" s="18">
        <v>1</v>
      </c>
      <c r="N57" s="18">
        <v>586</v>
      </c>
    </row>
    <row r="58" spans="1:14" x14ac:dyDescent="0.25">
      <c r="A58" s="23">
        <v>248</v>
      </c>
      <c r="B58" s="21" t="s">
        <v>153</v>
      </c>
      <c r="C58" s="21" t="s">
        <v>166</v>
      </c>
      <c r="E58" s="21" t="s">
        <v>180</v>
      </c>
      <c r="F58" s="21">
        <v>6</v>
      </c>
      <c r="G58" s="25">
        <v>2.0699999999999998</v>
      </c>
      <c r="H58" s="18">
        <f>0.076+0.222</f>
        <v>0.29799999999999999</v>
      </c>
      <c r="I58" s="18"/>
      <c r="J58" s="18">
        <v>2.0150000000000001</v>
      </c>
      <c r="K58" s="18">
        <f t="shared" si="0"/>
        <v>81</v>
      </c>
      <c r="L58" s="26">
        <v>666</v>
      </c>
      <c r="M58" s="18">
        <v>1</v>
      </c>
      <c r="N58" s="18">
        <v>586</v>
      </c>
    </row>
    <row r="59" spans="1:14" x14ac:dyDescent="0.25">
      <c r="A59" s="23">
        <v>248</v>
      </c>
      <c r="B59" s="21" t="s">
        <v>153</v>
      </c>
      <c r="C59" s="21" t="s">
        <v>167</v>
      </c>
      <c r="E59" s="21" t="s">
        <v>181</v>
      </c>
      <c r="F59" s="21">
        <v>6</v>
      </c>
      <c r="G59" s="25">
        <v>1.99</v>
      </c>
      <c r="H59" s="18">
        <f>0.072+0.218</f>
        <v>0.28999999999999998</v>
      </c>
      <c r="I59" s="18"/>
      <c r="J59" s="18">
        <v>1.927</v>
      </c>
      <c r="K59" s="18">
        <f t="shared" si="0"/>
        <v>81</v>
      </c>
      <c r="L59" s="26">
        <v>640</v>
      </c>
      <c r="M59" s="18">
        <v>1</v>
      </c>
      <c r="N59" s="18">
        <v>586</v>
      </c>
    </row>
    <row r="60" spans="1:14" x14ac:dyDescent="0.25">
      <c r="A60" s="23">
        <v>248</v>
      </c>
      <c r="B60" s="21" t="s">
        <v>154</v>
      </c>
      <c r="C60" s="21" t="s">
        <v>168</v>
      </c>
      <c r="E60" s="21" t="s">
        <v>182</v>
      </c>
      <c r="F60" s="21">
        <v>6</v>
      </c>
      <c r="G60" s="25">
        <v>2.09</v>
      </c>
      <c r="H60" s="18">
        <f>0.066+0.05</f>
        <v>0.11600000000000001</v>
      </c>
      <c r="I60" s="18"/>
      <c r="J60" s="18">
        <v>2.0659999999999998</v>
      </c>
      <c r="K60" s="18">
        <f>28+14</f>
        <v>42</v>
      </c>
      <c r="L60" s="26">
        <v>429</v>
      </c>
      <c r="M60" s="18">
        <v>1</v>
      </c>
      <c r="N60" s="18">
        <v>586</v>
      </c>
    </row>
    <row r="61" spans="1:14" x14ac:dyDescent="0.25">
      <c r="A61" s="23">
        <v>248</v>
      </c>
      <c r="B61" s="21" t="s">
        <v>155</v>
      </c>
      <c r="C61" s="21" t="s">
        <v>169</v>
      </c>
      <c r="E61" s="21" t="s">
        <v>183</v>
      </c>
      <c r="F61" s="21">
        <v>6</v>
      </c>
      <c r="G61" s="25">
        <v>5.24</v>
      </c>
      <c r="H61" s="18">
        <f>0.034+0.342+0.369</f>
        <v>0.745</v>
      </c>
      <c r="I61" s="18"/>
      <c r="J61" s="18">
        <v>5.09</v>
      </c>
      <c r="K61" s="18">
        <f t="shared" ref="K61:K63" si="1">5+138+104</f>
        <v>247</v>
      </c>
      <c r="L61" s="26">
        <v>1633</v>
      </c>
      <c r="M61" s="18">
        <v>1</v>
      </c>
      <c r="N61" s="18">
        <v>586</v>
      </c>
    </row>
    <row r="62" spans="1:14" x14ac:dyDescent="0.25">
      <c r="A62" s="23">
        <v>248</v>
      </c>
      <c r="B62" s="21" t="s">
        <v>155</v>
      </c>
      <c r="C62" s="21" t="s">
        <v>170</v>
      </c>
      <c r="E62" s="21" t="s">
        <v>184</v>
      </c>
      <c r="F62" s="21">
        <v>6</v>
      </c>
      <c r="G62" s="21" t="s">
        <v>156</v>
      </c>
      <c r="H62" s="18">
        <f>0.033+0.353+0.367</f>
        <v>0.753</v>
      </c>
      <c r="I62" s="18"/>
      <c r="J62" s="18">
        <v>5.2770000000000001</v>
      </c>
      <c r="K62" s="18">
        <f t="shared" si="1"/>
        <v>247</v>
      </c>
      <c r="L62" s="26">
        <v>1607</v>
      </c>
      <c r="M62" s="18">
        <v>1</v>
      </c>
      <c r="N62" s="18">
        <v>586</v>
      </c>
    </row>
    <row r="63" spans="1:14" x14ac:dyDescent="0.25">
      <c r="A63" s="23">
        <v>248</v>
      </c>
      <c r="B63" s="21" t="s">
        <v>155</v>
      </c>
      <c r="C63" s="21" t="s">
        <v>171</v>
      </c>
      <c r="E63" s="21" t="s">
        <v>185</v>
      </c>
      <c r="F63" s="21">
        <v>6</v>
      </c>
      <c r="G63" s="21" t="s">
        <v>157</v>
      </c>
      <c r="H63" s="18">
        <f>0.032+0.358+0.375</f>
        <v>0.76500000000000001</v>
      </c>
      <c r="I63" s="18"/>
      <c r="J63" s="18">
        <v>5.1550000000000002</v>
      </c>
      <c r="K63" s="18">
        <f t="shared" si="1"/>
        <v>247</v>
      </c>
      <c r="L63" s="26">
        <v>1626</v>
      </c>
      <c r="M63" s="18">
        <v>1</v>
      </c>
      <c r="N63" s="18">
        <v>586</v>
      </c>
    </row>
  </sheetData>
  <conditionalFormatting sqref="B2:B65383">
    <cfRule type="duplicateValues" dxfId="1" priority="17" stopIfTrue="1"/>
  </conditionalFormatting>
  <conditionalFormatting sqref="C2:C63">
    <cfRule type="duplicateValues" dxfId="0" priority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1" customWidth="1"/>
  </cols>
  <sheetData>
    <row r="3" spans="1:2" ht="21" x14ac:dyDescent="0.35">
      <c r="A3" s="12" t="s">
        <v>14</v>
      </c>
      <c r="B3" s="7" t="s">
        <v>15</v>
      </c>
    </row>
    <row r="4" spans="1:2" ht="18.75" x14ac:dyDescent="0.3">
      <c r="A4" s="13" t="s">
        <v>16</v>
      </c>
      <c r="B4" s="8">
        <v>581</v>
      </c>
    </row>
    <row r="5" spans="1:2" ht="18.75" x14ac:dyDescent="0.3">
      <c r="A5" s="13" t="s">
        <v>18</v>
      </c>
      <c r="B5" s="8">
        <v>584</v>
      </c>
    </row>
    <row r="6" spans="1:2" ht="18.75" x14ac:dyDescent="0.3">
      <c r="A6" s="13" t="s">
        <v>17</v>
      </c>
      <c r="B6" s="8">
        <v>586</v>
      </c>
    </row>
    <row r="7" spans="1:2" ht="18.75" x14ac:dyDescent="0.3">
      <c r="A7" s="13" t="s">
        <v>19</v>
      </c>
      <c r="B7" s="8">
        <v>589</v>
      </c>
    </row>
    <row r="8" spans="1:2" ht="18.75" x14ac:dyDescent="0.3">
      <c r="A8" s="13" t="s">
        <v>20</v>
      </c>
      <c r="B8" s="8">
        <v>5810</v>
      </c>
    </row>
    <row r="9" spans="1:2" x14ac:dyDescent="0.25">
      <c r="A9" s="14"/>
      <c r="B9" s="9"/>
    </row>
    <row r="10" spans="1:2" ht="18.75" x14ac:dyDescent="0.3">
      <c r="A10" s="15" t="s">
        <v>21</v>
      </c>
      <c r="B10" s="10">
        <v>751</v>
      </c>
    </row>
    <row r="11" spans="1:2" ht="18.75" x14ac:dyDescent="0.3">
      <c r="A11" s="15" t="s">
        <v>22</v>
      </c>
      <c r="B11" s="10">
        <v>754</v>
      </c>
    </row>
    <row r="12" spans="1:2" ht="18.75" x14ac:dyDescent="0.3">
      <c r="A12" s="15" t="s">
        <v>23</v>
      </c>
      <c r="B12" s="10">
        <v>756</v>
      </c>
    </row>
    <row r="13" spans="1:2" ht="18.75" x14ac:dyDescent="0.3">
      <c r="A13" s="15" t="s">
        <v>24</v>
      </c>
      <c r="B13" s="10">
        <v>759</v>
      </c>
    </row>
    <row r="14" spans="1:2" ht="18.75" x14ac:dyDescent="0.3">
      <c r="A14" s="15" t="s">
        <v>25</v>
      </c>
      <c r="B14" s="10">
        <v>7510</v>
      </c>
    </row>
    <row r="15" spans="1:2" x14ac:dyDescent="0.25">
      <c r="A15" s="14"/>
      <c r="B15" s="9"/>
    </row>
    <row r="16" spans="1:2" ht="18.75" x14ac:dyDescent="0.3">
      <c r="A16" s="16" t="s">
        <v>26</v>
      </c>
      <c r="B16" s="11">
        <v>1</v>
      </c>
    </row>
    <row r="17" spans="1:2" ht="18.75" x14ac:dyDescent="0.3">
      <c r="A17" s="16" t="s">
        <v>27</v>
      </c>
      <c r="B17" s="11">
        <v>4</v>
      </c>
    </row>
    <row r="18" spans="1:2" ht="18.75" x14ac:dyDescent="0.3">
      <c r="A18" s="16" t="s">
        <v>28</v>
      </c>
      <c r="B18" s="11">
        <v>6</v>
      </c>
    </row>
    <row r="19" spans="1:2" ht="18.75" x14ac:dyDescent="0.3">
      <c r="A19" s="16" t="s">
        <v>29</v>
      </c>
      <c r="B19" s="11">
        <v>9</v>
      </c>
    </row>
    <row r="20" spans="1:2" ht="18.75" x14ac:dyDescent="0.3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sales shipping</cp:lastModifiedBy>
  <cp:lastPrinted>2015-01-20T17:16:10Z</cp:lastPrinted>
  <dcterms:created xsi:type="dcterms:W3CDTF">2010-12-16T10:42:21Z</dcterms:created>
  <dcterms:modified xsi:type="dcterms:W3CDTF">2018-05-17T22:35:48Z</dcterms:modified>
</cp:coreProperties>
</file>