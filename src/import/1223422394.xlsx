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70" i="16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65"/>
  <c r="P66"/>
  <c r="P67"/>
  <c r="P68"/>
  <c r="P69"/>
  <c r="P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</calcChain>
</file>

<file path=xl/sharedStrings.xml><?xml version="1.0" encoding="utf-8"?>
<sst xmlns="http://schemas.openxmlformats.org/spreadsheetml/2006/main" count="354" uniqueCount="295">
  <si>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</si>
  <si>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</si>
  <si>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</si>
  <si>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</si>
  <si>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</si>
  <si>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</si>
  <si>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</si>
  <si>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</si>
  <si>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</si>
  <si>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</si>
  <si>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</si>
  <si>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</si>
  <si>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</si>
  <si>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</si>
  <si>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</si>
  <si>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</si>
  <si>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</si>
  <si>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</si>
  <si>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</si>
  <si>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</si>
  <si>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</si>
  <si>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</si>
  <si>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</si>
  <si>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</si>
  <si>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</si>
  <si>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</si>
  <si>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</si>
  <si>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</si>
  <si>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</si>
  <si>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</si>
  <si>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</si>
  <si>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SDB5126</t>
  </si>
  <si>
    <t>S.Dia. Bangal.</t>
  </si>
  <si>
    <t>SDB5127</t>
  </si>
  <si>
    <t>Dia. &amp; Rainbow. Bangal.</t>
  </si>
  <si>
    <t>SDB5128</t>
  </si>
  <si>
    <t>SDB5129</t>
  </si>
  <si>
    <t>Dia. Polki. &amp; Rainbow. Bangal.</t>
  </si>
  <si>
    <t>SDB5130</t>
  </si>
  <si>
    <t>Dia. Polki. &amp; Emereld. Bangal</t>
  </si>
  <si>
    <t>SDB5131</t>
  </si>
  <si>
    <t>S.Dia. &amp; Green. Onex. Bangal</t>
  </si>
  <si>
    <t>SDB5132</t>
  </si>
  <si>
    <t>SDB5133</t>
  </si>
  <si>
    <t>S.Dia. &amp; Black. Spinal. Bangal</t>
  </si>
  <si>
    <t>SDB5134</t>
  </si>
  <si>
    <t>Dia. Beggutte. &amp; B.Sapp. Bangal</t>
  </si>
  <si>
    <t>SDB5135</t>
  </si>
  <si>
    <t>Dia. &amp; Aus.Opal(g). Bangal.</t>
  </si>
  <si>
    <t>SDB5136</t>
  </si>
  <si>
    <t>Dia. &amp; Labrodrite. Bangal.</t>
  </si>
  <si>
    <t>SDB5137</t>
  </si>
  <si>
    <t>Dia. &amp; M.Tourmuli. Bangal.</t>
  </si>
  <si>
    <t>SDB5138</t>
  </si>
  <si>
    <t>Dia. &amp; Blue. Sapphire. Bangal</t>
  </si>
  <si>
    <t>SDB5139</t>
  </si>
  <si>
    <t>SDB5140</t>
  </si>
  <si>
    <t>Dia. Polki. &amp; Aus.Opal(g). Bangal.</t>
  </si>
  <si>
    <t>SDB5141</t>
  </si>
  <si>
    <t>Dia. &amp; Aus.Opal(b). Bangal</t>
  </si>
  <si>
    <t>SDB5142</t>
  </si>
  <si>
    <t>SDB5143</t>
  </si>
  <si>
    <t>Dia. &amp; Emereld. Bangal</t>
  </si>
  <si>
    <t>SDB5144</t>
  </si>
  <si>
    <t>Dia. &amp; Black.Spinal Bangal</t>
  </si>
  <si>
    <t>SDB5145</t>
  </si>
  <si>
    <t>Dia. &amp; Ruby.      Bangal.</t>
  </si>
  <si>
    <t>SDB5146</t>
  </si>
  <si>
    <t>SDB5147</t>
  </si>
  <si>
    <t>Dia. &amp; Tourquise. Bangal.</t>
  </si>
  <si>
    <t>SDB5148</t>
  </si>
  <si>
    <t>Dia. &amp; Y.Aquamarine. Bangal.</t>
  </si>
  <si>
    <t>SDB5149</t>
  </si>
  <si>
    <t>Dia. &amp; B.Aquamarine. Bangal.</t>
  </si>
  <si>
    <t>SDB5150</t>
  </si>
  <si>
    <t>S.Dia. &amp; Kynite. Bangal.</t>
  </si>
  <si>
    <t>SDB5151</t>
  </si>
  <si>
    <t>SDB5152</t>
  </si>
  <si>
    <t>SDB5153</t>
  </si>
  <si>
    <t>Dia. &amp; Labro. Bangal.</t>
  </si>
  <si>
    <t>SDB5154</t>
  </si>
  <si>
    <t>Dia. &amp; Lapis Bangal</t>
  </si>
  <si>
    <t>SDB5155</t>
  </si>
  <si>
    <t>SDB5156</t>
  </si>
  <si>
    <t>Dia. &amp; B.Sapp. Bangal</t>
  </si>
  <si>
    <t>SDB5157</t>
  </si>
  <si>
    <t>SDB5158</t>
  </si>
  <si>
    <t>Dia. &amp; Smoky. Bangal</t>
  </si>
  <si>
    <t>SDB5159</t>
  </si>
  <si>
    <t>SDB5160</t>
  </si>
  <si>
    <t>Dia. &amp; Rose. Qtz. Bangal</t>
  </si>
  <si>
    <t>SDB5161</t>
  </si>
  <si>
    <t>S.Dia. B.Sapp. &amp; Larimar. Bangal</t>
  </si>
  <si>
    <t>SDB5162</t>
  </si>
  <si>
    <t>Dia. Begg. &amp; Rainbow. Bangal</t>
  </si>
  <si>
    <t>SDB5163</t>
  </si>
  <si>
    <t>SDB5164</t>
  </si>
  <si>
    <t>Dia. Begg. &amp; Labro. Bangal</t>
  </si>
  <si>
    <t>SDB5165</t>
  </si>
  <si>
    <t>SDB5166</t>
  </si>
  <si>
    <t>Dia. Begg. &amp; Tourquise. Bangal</t>
  </si>
  <si>
    <t>SDE2813</t>
  </si>
  <si>
    <t>Dia. &amp; Rainbow. Earring</t>
  </si>
  <si>
    <t>SDE2814</t>
  </si>
  <si>
    <t>Dia. &amp; Appatite. Earring</t>
  </si>
  <si>
    <t>SDE2815</t>
  </si>
  <si>
    <t>Dia. Begg. Polki, Tour. &amp; Tanzanite. Earring</t>
  </si>
  <si>
    <t>SDE2816</t>
  </si>
  <si>
    <t>SDE2817</t>
  </si>
  <si>
    <t>Dia. &amp; Emereld. Earring</t>
  </si>
  <si>
    <t>SDE2818</t>
  </si>
  <si>
    <t>Dia. Tourquise. &amp; B.Sapp. Earring.</t>
  </si>
  <si>
    <t>SDE2819</t>
  </si>
  <si>
    <t>Dia. A.Opal(g). &amp; B.Sapp. Earring.</t>
  </si>
  <si>
    <t>SDE2820</t>
  </si>
  <si>
    <t>Dia. Emereld. &amp; larimar Earring</t>
  </si>
  <si>
    <t>SDE2821</t>
  </si>
  <si>
    <t>Dia. Rainbow. &amp; B.Sapp. Earring</t>
  </si>
  <si>
    <t>SDE2822</t>
  </si>
  <si>
    <t>SDE2823</t>
  </si>
  <si>
    <t>Dia. Labro, &amp; M.O.P. Earring</t>
  </si>
  <si>
    <t>SDE2824</t>
  </si>
  <si>
    <t>S.Dia. &amp; Dia. Ruff. &amp; Rainbow. Earring</t>
  </si>
  <si>
    <t>SDE2825</t>
  </si>
  <si>
    <t>SDE2826</t>
  </si>
  <si>
    <t>S.Dia. &amp; Dia. Ruf. &amp; Emereld. Earring</t>
  </si>
  <si>
    <t>SDE2827</t>
  </si>
  <si>
    <t>S.Dia. Rain. &amp; Labro. Earring</t>
  </si>
  <si>
    <t>SDE2828</t>
  </si>
  <si>
    <t>S.Dia. Emereld. &amp; larimar Earring</t>
  </si>
  <si>
    <t>SDE2829</t>
  </si>
  <si>
    <t>S.Dia. Tour. &amp; B.Sapp. Earring</t>
  </si>
  <si>
    <t>SDE2830</t>
  </si>
  <si>
    <t>Dia. Rainbow. &amp; M.Sapp. Earring</t>
  </si>
  <si>
    <t>SDE2831</t>
  </si>
  <si>
    <t>Dia. &amp; B.Sapp. Earring.</t>
  </si>
  <si>
    <t>SDE2832</t>
  </si>
  <si>
    <t>SDE2833</t>
  </si>
  <si>
    <t>Dia. B.Spinal &amp; Moti Earring</t>
  </si>
  <si>
    <t>SDE2834</t>
  </si>
  <si>
    <t>Dia. B.Sapp  &amp; Moti. Earring</t>
  </si>
  <si>
    <t>SDE2835</t>
  </si>
  <si>
    <t>Dia. Emereld. &amp; Moti Earring</t>
  </si>
  <si>
    <t>SDE2836</t>
  </si>
  <si>
    <t>SDE2837</t>
  </si>
  <si>
    <t>Dia. Opal  &amp; Moti. Earring</t>
  </si>
  <si>
    <t>SDR9348</t>
  </si>
  <si>
    <t>SDR9349</t>
  </si>
  <si>
    <t>SDR9350</t>
  </si>
  <si>
    <t>Dia. Begg. &amp; Rainbow. Ring.</t>
  </si>
  <si>
    <t>SDR9351</t>
  </si>
  <si>
    <t>SDR9352</t>
  </si>
  <si>
    <t>SDR9353</t>
  </si>
  <si>
    <t>SDR9354</t>
  </si>
  <si>
    <t>SDR9355</t>
  </si>
  <si>
    <t>SDR9356</t>
  </si>
  <si>
    <t>SDR9357</t>
  </si>
  <si>
    <t>SDR9358</t>
  </si>
  <si>
    <t>SDR9359</t>
  </si>
  <si>
    <t>SDR9360</t>
  </si>
  <si>
    <t>SDR9361</t>
  </si>
  <si>
    <t>SDR9362</t>
  </si>
  <si>
    <t>SDR9363</t>
  </si>
  <si>
    <t>SDR9364</t>
  </si>
  <si>
    <t>SDR9365</t>
  </si>
  <si>
    <t>SDR9366</t>
  </si>
  <si>
    <t>SDR9367</t>
  </si>
  <si>
    <t>SDR9368</t>
  </si>
  <si>
    <t>SDR9369</t>
  </si>
  <si>
    <t>SDR9370</t>
  </si>
  <si>
    <t>SDR9371</t>
  </si>
  <si>
    <t>Dia. Beggutte. &amp; Aus.Opal Ring-  6</t>
  </si>
  <si>
    <t>SDR9372</t>
  </si>
  <si>
    <t>SDR9373</t>
  </si>
  <si>
    <t>Dia. Beggutte. &amp; Aus.Opal Ring</t>
  </si>
  <si>
    <t>SDR9374</t>
  </si>
  <si>
    <t>SDP14933</t>
  </si>
  <si>
    <t>Dia. Polki. &amp; B.Sapp. Pandant</t>
  </si>
  <si>
    <t>SDP14934</t>
  </si>
  <si>
    <t>Dia. Rainbow. &amp; Labrodrite. Pandant</t>
  </si>
  <si>
    <t>SDP14935</t>
  </si>
  <si>
    <t>Dia. Emereld. &amp; Larimar Pandant</t>
  </si>
  <si>
    <t>SDP14936</t>
  </si>
  <si>
    <t>Dia. Labrodrite. &amp; Rainbow. Pandant</t>
  </si>
  <si>
    <t>SDP14937</t>
  </si>
  <si>
    <t>Dia. Rainbow, &amp; Routile Pandant</t>
  </si>
  <si>
    <t>SDP14938</t>
  </si>
  <si>
    <t>Dia. Emereld. &amp; Rainbow. Pandant</t>
  </si>
  <si>
    <t>SDP14939</t>
  </si>
  <si>
    <t>Dia. Rainbow. &amp; B.Sapp. Pandant</t>
  </si>
  <si>
    <t>SDP14940</t>
  </si>
  <si>
    <t>Dia. Tour. &amp; Lapis. Pandant</t>
  </si>
  <si>
    <t>SDP14941</t>
  </si>
  <si>
    <t>SDP14942</t>
  </si>
  <si>
    <t>Dia. Rainbow. &amp; Routile. Pandant</t>
  </si>
  <si>
    <t>SDP14943</t>
  </si>
  <si>
    <t>SDP14944</t>
  </si>
  <si>
    <t>Dia. Polki. W.Topaz. &amp; B.Sapp. Pandant</t>
  </si>
  <si>
    <t>SDP14945</t>
  </si>
  <si>
    <t>Dia. Rain. &amp; labro. Pandant</t>
  </si>
  <si>
    <t>SDP14946</t>
  </si>
  <si>
    <t>Dia. Polki. &amp; labro. Pandant</t>
  </si>
  <si>
    <t>SDP14947</t>
  </si>
  <si>
    <t>Dia. Polki. Emereld. &amp; Routile. Pandant</t>
  </si>
  <si>
    <t>SDP14948</t>
  </si>
  <si>
    <t>Dia. Polki. Emereld. &amp; Rainbow. Pandant</t>
  </si>
  <si>
    <t>SDP14949</t>
  </si>
  <si>
    <t>Dia. Polki. Labro. &amp; Rainbow. Pandant</t>
  </si>
  <si>
    <t>SDP14950</t>
  </si>
  <si>
    <t>Dia. Polki. W.Topaz. &amp; lapis. Pandant</t>
  </si>
  <si>
    <t>SDP14951</t>
  </si>
  <si>
    <t>Dia. &amp; Drusy. Cavity Pandant</t>
  </si>
  <si>
    <t>SDP14952</t>
  </si>
  <si>
    <t>Dia. Labro. &amp; Pink Opal Pandant</t>
  </si>
  <si>
    <t>SDP14953</t>
  </si>
  <si>
    <t>SDP14954</t>
  </si>
  <si>
    <t>Dia. Tour. &amp; B.Sapp. Pandant</t>
  </si>
  <si>
    <t>SDP14955</t>
  </si>
  <si>
    <t>Dia. Polki. Opal. &amp; Routile Pandant</t>
  </si>
  <si>
    <t>SDP14956</t>
  </si>
  <si>
    <t>Dia. E.Opal. Lapis. &amp; Moti. Pandant.</t>
  </si>
  <si>
    <t>SDP14957</t>
  </si>
  <si>
    <t>Dia. Rainbow. Smoky. &amp; Pearl Pandant</t>
  </si>
  <si>
    <t>SDP14958</t>
  </si>
  <si>
    <t>Dia. Tanz, Emereld. &amp; G.onex Pandant</t>
  </si>
  <si>
    <t>SDP14959</t>
  </si>
  <si>
    <t>Dia. Rainbow, Smoky, &amp; Moti. Pandant</t>
  </si>
  <si>
    <t>SDP14960</t>
  </si>
  <si>
    <t>Dia. Tanz, Moon Stone. &amp; Moti. Pandant</t>
  </si>
  <si>
    <t>SDP14961</t>
  </si>
  <si>
    <t>Dia. Tanz, Rain, &amp; Rain Beads Pandant</t>
  </si>
  <si>
    <t>SDP14962</t>
  </si>
  <si>
    <t>Dia. E.Opal. Moti. &amp; Lapis Pandant</t>
  </si>
  <si>
    <t>SDP14963</t>
  </si>
  <si>
    <t>Dia. Rainbow, &amp; B.Spinal Pandant</t>
  </si>
  <si>
    <t>SDP14964</t>
  </si>
  <si>
    <t>Dia. Tanz, Rain, &amp; Rainbow. Beads Pandant</t>
  </si>
  <si>
    <t>SDP14965</t>
  </si>
  <si>
    <t>SDN9422</t>
  </si>
  <si>
    <t>Dia. Rainbow. &amp; Labrodrite. Neck.</t>
  </si>
  <si>
    <t>SDN9423</t>
  </si>
  <si>
    <t>Dia. &amp; Rainbow. Neck.</t>
  </si>
  <si>
    <t>SDN9424</t>
  </si>
  <si>
    <t>Dia. &amp; B.Sapp. Neck</t>
  </si>
  <si>
    <t>SDN9425</t>
  </si>
  <si>
    <t>Dia. Smoky. &amp; Rainbow. Neck.</t>
  </si>
  <si>
    <t>SDN9426</t>
  </si>
  <si>
    <t>Dia. &amp; Larimar Neck.</t>
  </si>
  <si>
    <t>SDN9427</t>
  </si>
  <si>
    <t>Dia. &amp; Labrodrite. Neck.</t>
  </si>
  <si>
    <t>SDN9428</t>
  </si>
  <si>
    <t>SDN9429</t>
  </si>
  <si>
    <t>S.Dia. &amp; Moon Stone Neck.</t>
  </si>
  <si>
    <t>SDN9430</t>
  </si>
  <si>
    <t>S.Dia. Smoky. &amp; W.Topaz. Neck.</t>
  </si>
  <si>
    <t>SDN9431</t>
  </si>
  <si>
    <t>SDN9432</t>
  </si>
  <si>
    <t>SDN9433</t>
  </si>
  <si>
    <t>SDN9434</t>
  </si>
  <si>
    <t>Dia. &amp; Drusy. Cavity Neck.</t>
  </si>
  <si>
    <t>SDN9435</t>
  </si>
  <si>
    <t>SDC-1884</t>
  </si>
  <si>
    <t>Dia. Bead.      M.Sapp- 16 mm</t>
  </si>
  <si>
    <t>SDC-1888</t>
  </si>
  <si>
    <t>Dia. Beads.       M.Sapp. -13*18</t>
  </si>
  <si>
    <t>SDC-1895</t>
  </si>
  <si>
    <t>Dia. Beads.       M.Sapp. -12*16</t>
  </si>
  <si>
    <t>SDC-1057</t>
  </si>
  <si>
    <t>Dia. Bead Roundal 12*1.80</t>
  </si>
  <si>
    <t>SDC-1515</t>
  </si>
  <si>
    <t>Dia. &amp; Oval Bead. 3.50*6</t>
  </si>
  <si>
    <t>SDC-1504</t>
  </si>
  <si>
    <t>Dia. Clasp 25.40*13.50</t>
  </si>
  <si>
    <t>SDC-1585</t>
  </si>
  <si>
    <t>Lobester Pear Shape 24*13</t>
  </si>
  <si>
    <t>SDC-1635</t>
  </si>
  <si>
    <t>Dia. Chams Spike -53 mm</t>
  </si>
  <si>
    <t>SIZE 7</t>
  </si>
  <si>
    <t>SIZE 8</t>
  </si>
  <si>
    <t>SIZE 6</t>
  </si>
  <si>
    <t>SIZE 6.5</t>
  </si>
  <si>
    <t>SIZE 5</t>
  </si>
  <si>
    <t>Dia. Begg. &amp; Labro. Ring-7</t>
  </si>
  <si>
    <t>Dia. Begg. &amp; Labro. Ring-8</t>
  </si>
  <si>
    <t>Dia. Begg. &amp; Rainbow. Ring.-8</t>
  </si>
  <si>
    <t>Dia. Begg. &amp; Rainbow. Ring.-6</t>
  </si>
  <si>
    <t>Dia. Begg. &amp; Rainbow. Ring.-7</t>
  </si>
  <si>
    <t>Dia. Begg. &amp; Labro. Ring-6</t>
  </si>
  <si>
    <t>Dia. Eth.Opal. &amp; Moon Stone Ring-6</t>
  </si>
  <si>
    <t>Dia. Eth.Opal. &amp; Moon Stone Ring-7</t>
  </si>
  <si>
    <t>S.Dia. Begg. &amp; E.Opal. Ring-6.5</t>
  </si>
  <si>
    <t>Dia. Begg. &amp; Labro. Ring-6.5</t>
  </si>
  <si>
    <t>S.Dia. Begg. &amp; Ruby. Ring-6</t>
  </si>
  <si>
    <t>Dia. Begg. &amp; Tanzanite Ring -5</t>
  </si>
  <si>
    <t>Dia. &amp; Opal Bangal.</t>
  </si>
</sst>
</file>

<file path=xl/styles.xml><?xml version="1.0" encoding="utf-8"?>
<styleSheet xmlns="http://schemas.openxmlformats.org/spreadsheetml/2006/main">
  <numFmts count="5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15" fillId="0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4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Fill="1" applyBorder="1" applyAlignment="1">
      <alignment horizontal="center" vertical="center"/>
    </xf>
    <xf numFmtId="166" fontId="18" fillId="0" borderId="2" xfId="0" applyNumberFormat="1" applyFont="1" applyFill="1" applyBorder="1" applyAlignment="1" applyProtection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>
      <alignment horizontal="center" vertical="center" wrapText="1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4" fontId="15" fillId="0" borderId="2" xfId="0" applyNumberFormat="1" applyFont="1" applyFill="1" applyBorder="1" applyAlignment="1">
      <alignment horizontal="center" vertical="center" wrapText="1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/>
    </xf>
    <xf numFmtId="0" fontId="22" fillId="0" borderId="2" xfId="0" applyFont="1" applyFill="1" applyBorder="1" applyAlignment="1" applyProtection="1">
      <alignment horizontal="center" vertical="center"/>
    </xf>
    <xf numFmtId="0" fontId="22" fillId="0" borderId="2" xfId="0" applyFont="1" applyFill="1" applyBorder="1" applyAlignment="1" applyProtection="1">
      <alignment horizontal="center" vertical="center"/>
      <protection locked="0"/>
    </xf>
    <xf numFmtId="0" fontId="1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1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5">
        <v>155</v>
      </c>
      <c r="B2" s="63">
        <v>2</v>
      </c>
      <c r="C2" s="53" t="s">
        <v>31</v>
      </c>
      <c r="D2" s="62"/>
      <c r="E2" s="63" t="s">
        <v>32</v>
      </c>
      <c r="F2" s="48"/>
      <c r="G2" s="49">
        <v>18.864999999999998</v>
      </c>
      <c r="H2" s="49">
        <v>2.1</v>
      </c>
      <c r="I2" s="49"/>
      <c r="J2" s="50"/>
      <c r="K2" s="67">
        <v>231</v>
      </c>
      <c r="L2" s="60">
        <v>420</v>
      </c>
      <c r="M2" s="51">
        <v>4</v>
      </c>
      <c r="N2" s="47">
        <v>4</v>
      </c>
      <c r="P2" s="30">
        <f t="shared" ref="P2:P10" si="0">ROUND(L2,0)</f>
        <v>420</v>
      </c>
    </row>
    <row r="3" spans="1:16" ht="66" customHeight="1">
      <c r="A3" s="45">
        <v>155</v>
      </c>
      <c r="B3" s="63">
        <v>7</v>
      </c>
      <c r="C3" s="53" t="s">
        <v>33</v>
      </c>
      <c r="D3" s="62"/>
      <c r="E3" s="63" t="s">
        <v>294</v>
      </c>
      <c r="F3" s="48"/>
      <c r="G3" s="49">
        <v>19.48</v>
      </c>
      <c r="H3" s="49">
        <v>1.85</v>
      </c>
      <c r="I3" s="49">
        <v>9.26</v>
      </c>
      <c r="J3" s="50"/>
      <c r="K3" s="67">
        <v>314</v>
      </c>
      <c r="L3" s="60">
        <v>521</v>
      </c>
      <c r="M3" s="51">
        <v>1</v>
      </c>
      <c r="N3" s="47">
        <v>4</v>
      </c>
      <c r="P3" s="30">
        <f t="shared" si="0"/>
        <v>521</v>
      </c>
    </row>
    <row r="4" spans="1:16" ht="66" customHeight="1">
      <c r="A4" s="45">
        <v>155</v>
      </c>
      <c r="B4" s="63">
        <v>8</v>
      </c>
      <c r="C4" s="53" t="s">
        <v>35</v>
      </c>
      <c r="D4" s="62"/>
      <c r="E4" s="63" t="s">
        <v>34</v>
      </c>
      <c r="F4" s="46"/>
      <c r="G4" s="49">
        <v>20.7</v>
      </c>
      <c r="H4" s="49">
        <v>1.85</v>
      </c>
      <c r="I4" s="49">
        <v>14.75</v>
      </c>
      <c r="J4" s="50"/>
      <c r="K4" s="67">
        <v>314</v>
      </c>
      <c r="L4" s="60">
        <v>582</v>
      </c>
      <c r="M4" s="51">
        <v>1</v>
      </c>
      <c r="N4" s="47">
        <v>4</v>
      </c>
      <c r="P4" s="30">
        <f t="shared" si="0"/>
        <v>582</v>
      </c>
    </row>
    <row r="5" spans="1:16" ht="66" customHeight="1">
      <c r="A5" s="45">
        <v>155</v>
      </c>
      <c r="B5" s="63">
        <v>12</v>
      </c>
      <c r="C5" s="53" t="s">
        <v>36</v>
      </c>
      <c r="D5" s="62"/>
      <c r="E5" s="63" t="s">
        <v>37</v>
      </c>
      <c r="F5" s="46"/>
      <c r="G5" s="49">
        <v>46.9</v>
      </c>
      <c r="H5" s="49">
        <v>6.95</v>
      </c>
      <c r="I5" s="49">
        <v>3.74</v>
      </c>
      <c r="J5" s="50"/>
      <c r="K5" s="67">
        <v>1774</v>
      </c>
      <c r="L5" s="60">
        <v>1496</v>
      </c>
      <c r="M5" s="51">
        <v>1</v>
      </c>
      <c r="N5" s="47">
        <v>4</v>
      </c>
      <c r="P5" s="30">
        <f t="shared" si="0"/>
        <v>1496</v>
      </c>
    </row>
    <row r="6" spans="1:16" ht="66" customHeight="1">
      <c r="A6" s="45">
        <v>155</v>
      </c>
      <c r="B6" s="63">
        <v>13</v>
      </c>
      <c r="C6" s="53" t="s">
        <v>38</v>
      </c>
      <c r="D6" s="62"/>
      <c r="E6" s="63" t="s">
        <v>39</v>
      </c>
      <c r="F6" s="52"/>
      <c r="G6" s="49">
        <v>46.97</v>
      </c>
      <c r="H6" s="49">
        <v>6.95</v>
      </c>
      <c r="I6" s="49">
        <v>5.23</v>
      </c>
      <c r="J6" s="50"/>
      <c r="K6" s="67">
        <v>1774</v>
      </c>
      <c r="L6" s="60">
        <v>1626</v>
      </c>
      <c r="M6" s="51">
        <v>1</v>
      </c>
      <c r="N6" s="47">
        <v>4</v>
      </c>
      <c r="P6" s="30">
        <f t="shared" si="0"/>
        <v>1626</v>
      </c>
    </row>
    <row r="7" spans="1:16" ht="66" customHeight="1">
      <c r="A7" s="45">
        <v>155</v>
      </c>
      <c r="B7" s="63">
        <v>14</v>
      </c>
      <c r="C7" s="53" t="s">
        <v>40</v>
      </c>
      <c r="D7" s="62"/>
      <c r="E7" s="63" t="s">
        <v>41</v>
      </c>
      <c r="F7" s="46"/>
      <c r="G7" s="49">
        <v>16.434999999999999</v>
      </c>
      <c r="H7" s="49">
        <v>2.4</v>
      </c>
      <c r="I7" s="49">
        <v>4.3</v>
      </c>
      <c r="J7" s="50"/>
      <c r="K7" s="67">
        <v>328</v>
      </c>
      <c r="L7" s="60">
        <v>595</v>
      </c>
      <c r="M7" s="51">
        <v>2</v>
      </c>
      <c r="N7" s="47">
        <v>4</v>
      </c>
      <c r="P7" s="30">
        <f t="shared" si="0"/>
        <v>595</v>
      </c>
    </row>
    <row r="8" spans="1:16" ht="66" customHeight="1">
      <c r="A8" s="45">
        <v>155</v>
      </c>
      <c r="B8" s="63">
        <v>15</v>
      </c>
      <c r="C8" s="53" t="s">
        <v>42</v>
      </c>
      <c r="D8" s="62"/>
      <c r="E8" s="63" t="s">
        <v>32</v>
      </c>
      <c r="F8" s="48"/>
      <c r="G8" s="49">
        <v>17.190000000000001</v>
      </c>
      <c r="H8" s="49">
        <v>5.9</v>
      </c>
      <c r="I8" s="49"/>
      <c r="J8" s="50"/>
      <c r="K8" s="67">
        <v>566</v>
      </c>
      <c r="L8" s="60">
        <v>904</v>
      </c>
      <c r="M8" s="51">
        <v>2</v>
      </c>
      <c r="N8" s="47">
        <v>4</v>
      </c>
      <c r="P8" s="30">
        <f t="shared" si="0"/>
        <v>904</v>
      </c>
    </row>
    <row r="9" spans="1:16" ht="66" customHeight="1">
      <c r="A9" s="45">
        <v>155</v>
      </c>
      <c r="B9" s="63">
        <v>16</v>
      </c>
      <c r="C9" s="53" t="s">
        <v>43</v>
      </c>
      <c r="D9" s="62"/>
      <c r="E9" s="63" t="s">
        <v>44</v>
      </c>
      <c r="F9" s="54"/>
      <c r="G9" s="49">
        <v>17.004999999999999</v>
      </c>
      <c r="H9" s="49">
        <v>2.4</v>
      </c>
      <c r="I9" s="49">
        <v>4.3</v>
      </c>
      <c r="J9" s="50"/>
      <c r="K9" s="67">
        <v>328</v>
      </c>
      <c r="L9" s="60">
        <v>545</v>
      </c>
      <c r="M9" s="51">
        <v>2</v>
      </c>
      <c r="N9" s="47">
        <v>4</v>
      </c>
      <c r="P9" s="30">
        <f t="shared" si="0"/>
        <v>545</v>
      </c>
    </row>
    <row r="10" spans="1:16" ht="66" customHeight="1">
      <c r="A10" s="45">
        <v>155</v>
      </c>
      <c r="B10" s="63">
        <v>17</v>
      </c>
      <c r="C10" s="53" t="s">
        <v>45</v>
      </c>
      <c r="D10" s="62"/>
      <c r="E10" s="63" t="s">
        <v>46</v>
      </c>
      <c r="F10" s="46"/>
      <c r="G10" s="55">
        <v>16.795000000000002</v>
      </c>
      <c r="H10" s="49">
        <v>3.2</v>
      </c>
      <c r="I10" s="49">
        <v>0.45</v>
      </c>
      <c r="J10" s="50"/>
      <c r="K10" s="67">
        <v>402</v>
      </c>
      <c r="L10" s="60">
        <v>754</v>
      </c>
      <c r="M10" s="51">
        <v>2</v>
      </c>
      <c r="N10" s="47">
        <v>4</v>
      </c>
      <c r="P10" s="30">
        <f t="shared" si="0"/>
        <v>754</v>
      </c>
    </row>
    <row r="11" spans="1:16" ht="66" customHeight="1">
      <c r="A11" s="45">
        <v>155</v>
      </c>
      <c r="B11" s="63">
        <v>19</v>
      </c>
      <c r="C11" s="53" t="s">
        <v>47</v>
      </c>
      <c r="D11" s="62"/>
      <c r="E11" s="63" t="s">
        <v>48</v>
      </c>
      <c r="F11" s="46"/>
      <c r="G11" s="49">
        <v>33.69</v>
      </c>
      <c r="H11" s="49">
        <v>2.66</v>
      </c>
      <c r="I11" s="49">
        <v>8.3699999999999992</v>
      </c>
      <c r="J11" s="50"/>
      <c r="K11" s="67">
        <v>744</v>
      </c>
      <c r="L11" s="60">
        <v>795</v>
      </c>
      <c r="M11" s="51">
        <v>1</v>
      </c>
      <c r="N11" s="47">
        <v>4</v>
      </c>
      <c r="P11" s="30">
        <f t="shared" ref="P11:P74" si="1">ROUND(L11,0)</f>
        <v>795</v>
      </c>
    </row>
    <row r="12" spans="1:16" ht="66" customHeight="1">
      <c r="A12" s="45">
        <v>155</v>
      </c>
      <c r="B12" s="63">
        <v>20</v>
      </c>
      <c r="C12" s="53" t="s">
        <v>49</v>
      </c>
      <c r="D12" s="62"/>
      <c r="E12" s="63" t="s">
        <v>50</v>
      </c>
      <c r="F12" s="46"/>
      <c r="G12" s="49">
        <v>32.910000000000004</v>
      </c>
      <c r="H12" s="49">
        <v>2.66</v>
      </c>
      <c r="I12" s="49">
        <v>10.11</v>
      </c>
      <c r="J12" s="50"/>
      <c r="K12" s="67">
        <v>744</v>
      </c>
      <c r="L12" s="60">
        <v>686</v>
      </c>
      <c r="M12" s="51">
        <v>3</v>
      </c>
      <c r="N12" s="47">
        <v>4</v>
      </c>
      <c r="P12" s="30">
        <f t="shared" si="1"/>
        <v>686</v>
      </c>
    </row>
    <row r="13" spans="1:16" ht="66" customHeight="1">
      <c r="A13" s="45">
        <v>155</v>
      </c>
      <c r="B13" s="63">
        <v>21</v>
      </c>
      <c r="C13" s="53" t="s">
        <v>51</v>
      </c>
      <c r="D13" s="62"/>
      <c r="E13" s="63" t="s">
        <v>52</v>
      </c>
      <c r="F13" s="54"/>
      <c r="G13" s="49">
        <v>32.226666666666667</v>
      </c>
      <c r="H13" s="49">
        <v>2.66</v>
      </c>
      <c r="I13" s="49">
        <v>9.82</v>
      </c>
      <c r="J13" s="50"/>
      <c r="K13" s="67">
        <v>744</v>
      </c>
      <c r="L13" s="60">
        <v>710</v>
      </c>
      <c r="M13" s="51">
        <v>3</v>
      </c>
      <c r="N13" s="47">
        <v>4</v>
      </c>
      <c r="P13" s="30">
        <f t="shared" si="1"/>
        <v>710</v>
      </c>
    </row>
    <row r="14" spans="1:16" ht="66" customHeight="1">
      <c r="A14" s="45">
        <v>155</v>
      </c>
      <c r="B14" s="63">
        <v>22</v>
      </c>
      <c r="C14" s="53" t="s">
        <v>53</v>
      </c>
      <c r="D14" s="62"/>
      <c r="E14" s="63" t="s">
        <v>54</v>
      </c>
      <c r="F14" s="54"/>
      <c r="G14" s="49">
        <v>34.773333333333333</v>
      </c>
      <c r="H14" s="49">
        <v>2.66</v>
      </c>
      <c r="I14" s="49">
        <v>16.64</v>
      </c>
      <c r="J14" s="50"/>
      <c r="K14" s="67">
        <v>744</v>
      </c>
      <c r="L14" s="60">
        <v>951</v>
      </c>
      <c r="M14" s="51">
        <v>3</v>
      </c>
      <c r="N14" s="47">
        <v>4</v>
      </c>
      <c r="P14" s="30">
        <f t="shared" si="1"/>
        <v>951</v>
      </c>
    </row>
    <row r="15" spans="1:16" ht="66" customHeight="1">
      <c r="A15" s="45">
        <v>155</v>
      </c>
      <c r="B15" s="63">
        <v>23</v>
      </c>
      <c r="C15" s="53" t="s">
        <v>55</v>
      </c>
      <c r="D15" s="62"/>
      <c r="E15" s="63" t="s">
        <v>34</v>
      </c>
      <c r="F15" s="46"/>
      <c r="G15" s="49">
        <v>33.646666666666668</v>
      </c>
      <c r="H15" s="49">
        <v>2.66</v>
      </c>
      <c r="I15" s="49">
        <v>9.92</v>
      </c>
      <c r="J15" s="50"/>
      <c r="K15" s="67">
        <v>744</v>
      </c>
      <c r="L15" s="60">
        <v>715</v>
      </c>
      <c r="M15" s="51">
        <v>4</v>
      </c>
      <c r="N15" s="47">
        <v>4</v>
      </c>
      <c r="P15" s="30">
        <f t="shared" si="1"/>
        <v>715</v>
      </c>
    </row>
    <row r="16" spans="1:16" ht="66" customHeight="1">
      <c r="A16" s="45">
        <v>155</v>
      </c>
      <c r="B16" s="63">
        <v>24</v>
      </c>
      <c r="C16" s="53" t="s">
        <v>56</v>
      </c>
      <c r="D16" s="62"/>
      <c r="E16" s="63" t="s">
        <v>57</v>
      </c>
      <c r="F16" s="46"/>
      <c r="G16" s="49">
        <v>45.44</v>
      </c>
      <c r="H16" s="49">
        <v>7.96</v>
      </c>
      <c r="I16" s="49">
        <v>5.65</v>
      </c>
      <c r="J16" s="50"/>
      <c r="K16" s="67">
        <v>1774</v>
      </c>
      <c r="L16" s="60">
        <v>1673</v>
      </c>
      <c r="M16" s="51">
        <v>1</v>
      </c>
      <c r="N16" s="47">
        <v>4</v>
      </c>
      <c r="P16" s="30">
        <f t="shared" si="1"/>
        <v>1673</v>
      </c>
    </row>
    <row r="17" spans="1:16" ht="66" customHeight="1">
      <c r="A17" s="45">
        <v>155</v>
      </c>
      <c r="B17" s="63">
        <v>25</v>
      </c>
      <c r="C17" s="53" t="s">
        <v>58</v>
      </c>
      <c r="D17" s="62"/>
      <c r="E17" s="63" t="s">
        <v>59</v>
      </c>
      <c r="F17" s="54"/>
      <c r="G17" s="49">
        <v>30.24</v>
      </c>
      <c r="H17" s="49">
        <v>5.0199999999999996</v>
      </c>
      <c r="I17" s="49">
        <v>4.5</v>
      </c>
      <c r="J17" s="50"/>
      <c r="K17" s="67">
        <v>1205</v>
      </c>
      <c r="L17" s="60">
        <v>1187</v>
      </c>
      <c r="M17" s="51">
        <v>2</v>
      </c>
      <c r="N17" s="47">
        <v>4</v>
      </c>
      <c r="P17" s="30">
        <f t="shared" si="1"/>
        <v>1187</v>
      </c>
    </row>
    <row r="18" spans="1:16" ht="66" customHeight="1">
      <c r="A18" s="45">
        <v>155</v>
      </c>
      <c r="B18" s="63">
        <v>29</v>
      </c>
      <c r="C18" s="53" t="s">
        <v>60</v>
      </c>
      <c r="D18" s="62"/>
      <c r="E18" s="63" t="s">
        <v>54</v>
      </c>
      <c r="F18" s="54"/>
      <c r="G18" s="49">
        <v>15.153333333333334</v>
      </c>
      <c r="H18" s="49">
        <v>1.72</v>
      </c>
      <c r="I18" s="49">
        <v>4.95</v>
      </c>
      <c r="J18" s="50"/>
      <c r="K18" s="67">
        <v>326</v>
      </c>
      <c r="L18" s="60">
        <v>560</v>
      </c>
      <c r="M18" s="51">
        <v>6</v>
      </c>
      <c r="N18" s="47">
        <v>4</v>
      </c>
      <c r="P18" s="30">
        <f t="shared" si="1"/>
        <v>560</v>
      </c>
    </row>
    <row r="19" spans="1:16" ht="66" customHeight="1">
      <c r="A19" s="45">
        <v>155</v>
      </c>
      <c r="B19" s="63">
        <v>30</v>
      </c>
      <c r="C19" s="53" t="s">
        <v>61</v>
      </c>
      <c r="D19" s="62"/>
      <c r="E19" s="63" t="s">
        <v>62</v>
      </c>
      <c r="F19" s="57"/>
      <c r="G19" s="49">
        <v>15.25</v>
      </c>
      <c r="H19" s="49">
        <v>1.72</v>
      </c>
      <c r="I19" s="49">
        <v>4.05</v>
      </c>
      <c r="J19" s="50"/>
      <c r="K19" s="67">
        <v>326</v>
      </c>
      <c r="L19" s="60">
        <v>532</v>
      </c>
      <c r="M19" s="51">
        <v>6</v>
      </c>
      <c r="N19" s="47">
        <v>4</v>
      </c>
      <c r="P19" s="30">
        <f t="shared" si="1"/>
        <v>532</v>
      </c>
    </row>
    <row r="20" spans="1:16" ht="66" customHeight="1">
      <c r="A20" s="45">
        <v>155</v>
      </c>
      <c r="B20" s="63">
        <v>31</v>
      </c>
      <c r="C20" s="53" t="s">
        <v>63</v>
      </c>
      <c r="D20" s="62"/>
      <c r="E20" s="63" t="s">
        <v>64</v>
      </c>
      <c r="F20" s="58"/>
      <c r="G20" s="49">
        <v>15.465999999999999</v>
      </c>
      <c r="H20" s="49">
        <v>1.72</v>
      </c>
      <c r="I20" s="49">
        <v>4.93</v>
      </c>
      <c r="J20" s="50"/>
      <c r="K20" s="67">
        <v>326</v>
      </c>
      <c r="L20" s="60">
        <v>426</v>
      </c>
      <c r="M20" s="51">
        <v>5</v>
      </c>
      <c r="N20" s="47">
        <v>4</v>
      </c>
      <c r="P20" s="30">
        <f t="shared" si="1"/>
        <v>426</v>
      </c>
    </row>
    <row r="21" spans="1:16" ht="66" customHeight="1">
      <c r="A21" s="45">
        <v>155</v>
      </c>
      <c r="B21" s="63">
        <v>32</v>
      </c>
      <c r="C21" s="53" t="s">
        <v>65</v>
      </c>
      <c r="D21" s="62"/>
      <c r="E21" s="63" t="s">
        <v>66</v>
      </c>
      <c r="F21" s="54"/>
      <c r="G21" s="49">
        <v>16.190000000000001</v>
      </c>
      <c r="H21" s="49">
        <v>1.72</v>
      </c>
      <c r="I21" s="49">
        <v>5.52</v>
      </c>
      <c r="J21" s="50"/>
      <c r="K21" s="67">
        <v>326</v>
      </c>
      <c r="L21" s="60">
        <v>582</v>
      </c>
      <c r="M21" s="51">
        <v>4</v>
      </c>
      <c r="N21" s="47">
        <v>4</v>
      </c>
      <c r="P21" s="30">
        <f t="shared" si="1"/>
        <v>582</v>
      </c>
    </row>
    <row r="22" spans="1:16" ht="66" customHeight="1">
      <c r="A22" s="45">
        <v>155</v>
      </c>
      <c r="B22" s="63">
        <v>33</v>
      </c>
      <c r="C22" s="53" t="s">
        <v>67</v>
      </c>
      <c r="D22" s="62"/>
      <c r="E22" s="63" t="s">
        <v>34</v>
      </c>
      <c r="F22" s="46"/>
      <c r="G22" s="65">
        <v>14.79</v>
      </c>
      <c r="H22" s="65">
        <v>1.72</v>
      </c>
      <c r="I22" s="65">
        <v>3.5</v>
      </c>
      <c r="J22" s="66"/>
      <c r="K22" s="68">
        <v>326</v>
      </c>
      <c r="L22" s="59">
        <v>436</v>
      </c>
      <c r="M22" s="70">
        <v>4</v>
      </c>
      <c r="N22" s="47">
        <v>4</v>
      </c>
      <c r="P22" s="30">
        <f t="shared" si="1"/>
        <v>436</v>
      </c>
    </row>
    <row r="23" spans="1:16" ht="66" customHeight="1">
      <c r="A23" s="45">
        <v>155</v>
      </c>
      <c r="B23" s="63">
        <v>34</v>
      </c>
      <c r="C23" s="53" t="s">
        <v>68</v>
      </c>
      <c r="D23" s="62"/>
      <c r="E23" s="63" t="s">
        <v>69</v>
      </c>
      <c r="F23" s="48"/>
      <c r="G23" s="49">
        <v>15.875</v>
      </c>
      <c r="H23" s="49">
        <v>1.72</v>
      </c>
      <c r="I23" s="49">
        <v>4.7</v>
      </c>
      <c r="J23" s="50"/>
      <c r="K23" s="68">
        <v>326</v>
      </c>
      <c r="L23" s="60">
        <v>490</v>
      </c>
      <c r="M23" s="51">
        <v>4</v>
      </c>
      <c r="N23" s="47">
        <v>4</v>
      </c>
      <c r="P23" s="30">
        <f t="shared" si="1"/>
        <v>490</v>
      </c>
    </row>
    <row r="24" spans="1:16" ht="66" customHeight="1">
      <c r="A24" s="45">
        <v>155</v>
      </c>
      <c r="B24" s="63">
        <v>38</v>
      </c>
      <c r="C24" s="53" t="s">
        <v>70</v>
      </c>
      <c r="D24" s="62"/>
      <c r="E24" s="63" t="s">
        <v>71</v>
      </c>
      <c r="F24" s="46"/>
      <c r="G24" s="49">
        <v>83.12</v>
      </c>
      <c r="H24" s="49">
        <v>4.62</v>
      </c>
      <c r="I24" s="49">
        <v>62.78</v>
      </c>
      <c r="J24" s="50"/>
      <c r="K24" s="68">
        <v>550</v>
      </c>
      <c r="L24" s="60">
        <v>1245</v>
      </c>
      <c r="M24" s="51">
        <v>1</v>
      </c>
      <c r="N24" s="47">
        <v>4</v>
      </c>
      <c r="P24" s="30">
        <f t="shared" si="1"/>
        <v>1245</v>
      </c>
    </row>
    <row r="25" spans="1:16" ht="66" customHeight="1">
      <c r="A25" s="45">
        <v>155</v>
      </c>
      <c r="B25" s="63">
        <v>39</v>
      </c>
      <c r="C25" s="53" t="s">
        <v>72</v>
      </c>
      <c r="D25" s="62"/>
      <c r="E25" s="63" t="s">
        <v>73</v>
      </c>
      <c r="F25" s="46"/>
      <c r="G25" s="49">
        <v>90.39</v>
      </c>
      <c r="H25" s="49">
        <v>3.65</v>
      </c>
      <c r="I25" s="49">
        <v>81.900000000000006</v>
      </c>
      <c r="J25" s="50"/>
      <c r="K25" s="68">
        <v>505</v>
      </c>
      <c r="L25" s="60">
        <v>1202</v>
      </c>
      <c r="M25" s="51">
        <v>1</v>
      </c>
      <c r="N25" s="47">
        <v>4</v>
      </c>
      <c r="P25" s="30">
        <f t="shared" si="1"/>
        <v>1202</v>
      </c>
    </row>
    <row r="26" spans="1:16" ht="66" customHeight="1">
      <c r="A26" s="45">
        <v>155</v>
      </c>
      <c r="B26" s="63">
        <v>40</v>
      </c>
      <c r="C26" s="53" t="s">
        <v>74</v>
      </c>
      <c r="D26" s="62"/>
      <c r="E26" s="63" t="s">
        <v>75</v>
      </c>
      <c r="F26" s="46"/>
      <c r="G26" s="49">
        <v>83.76</v>
      </c>
      <c r="H26" s="49">
        <v>6.05</v>
      </c>
      <c r="I26" s="49">
        <v>58.2</v>
      </c>
      <c r="J26" s="50"/>
      <c r="K26" s="68">
        <v>551</v>
      </c>
      <c r="L26" s="60">
        <v>1384</v>
      </c>
      <c r="M26" s="51">
        <v>1</v>
      </c>
      <c r="N26" s="47">
        <v>4</v>
      </c>
      <c r="P26" s="30">
        <f t="shared" si="1"/>
        <v>1384</v>
      </c>
    </row>
    <row r="27" spans="1:16" ht="66" customHeight="1">
      <c r="A27" s="45">
        <v>155</v>
      </c>
      <c r="B27" s="63">
        <v>42</v>
      </c>
      <c r="C27" s="53" t="s">
        <v>76</v>
      </c>
      <c r="D27" s="62"/>
      <c r="E27" s="63" t="s">
        <v>34</v>
      </c>
      <c r="F27" s="46"/>
      <c r="G27" s="49">
        <v>28.445</v>
      </c>
      <c r="H27" s="49">
        <v>3.6</v>
      </c>
      <c r="I27" s="49">
        <v>12.86</v>
      </c>
      <c r="J27" s="50"/>
      <c r="K27" s="68">
        <v>412</v>
      </c>
      <c r="L27" s="60">
        <v>850</v>
      </c>
      <c r="M27" s="51">
        <v>2</v>
      </c>
      <c r="N27" s="47">
        <v>4</v>
      </c>
      <c r="P27" s="30">
        <f t="shared" si="1"/>
        <v>850</v>
      </c>
    </row>
    <row r="28" spans="1:16" ht="66" customHeight="1">
      <c r="A28" s="45">
        <v>155</v>
      </c>
      <c r="B28" s="63">
        <v>44</v>
      </c>
      <c r="C28" s="53" t="s">
        <v>77</v>
      </c>
      <c r="D28" s="62"/>
      <c r="E28" s="63" t="s">
        <v>34</v>
      </c>
      <c r="F28" s="46"/>
      <c r="G28" s="49">
        <v>28.535</v>
      </c>
      <c r="H28" s="49">
        <v>2.84</v>
      </c>
      <c r="I28" s="49">
        <v>23.2</v>
      </c>
      <c r="J28" s="50"/>
      <c r="K28" s="68">
        <v>538</v>
      </c>
      <c r="L28" s="60">
        <v>688</v>
      </c>
      <c r="M28" s="51">
        <v>2</v>
      </c>
      <c r="N28" s="47">
        <v>4</v>
      </c>
      <c r="P28" s="30">
        <f t="shared" si="1"/>
        <v>688</v>
      </c>
    </row>
    <row r="29" spans="1:16" ht="66" customHeight="1">
      <c r="A29" s="45">
        <v>155</v>
      </c>
      <c r="B29" s="63">
        <v>45</v>
      </c>
      <c r="C29" s="53" t="s">
        <v>78</v>
      </c>
      <c r="D29" s="62"/>
      <c r="E29" s="63" t="s">
        <v>79</v>
      </c>
      <c r="F29" s="54"/>
      <c r="G29" s="49">
        <v>27.01</v>
      </c>
      <c r="H29" s="49">
        <v>2.84</v>
      </c>
      <c r="I29" s="49">
        <v>24.2</v>
      </c>
      <c r="J29" s="50"/>
      <c r="K29" s="68">
        <v>538</v>
      </c>
      <c r="L29" s="60">
        <v>687</v>
      </c>
      <c r="M29" s="51">
        <v>2</v>
      </c>
      <c r="N29" s="47">
        <v>4</v>
      </c>
      <c r="P29" s="30">
        <f t="shared" si="1"/>
        <v>687</v>
      </c>
    </row>
    <row r="30" spans="1:16" ht="66" customHeight="1">
      <c r="A30" s="45">
        <v>155</v>
      </c>
      <c r="B30" s="63">
        <v>47</v>
      </c>
      <c r="C30" s="53" t="s">
        <v>80</v>
      </c>
      <c r="D30" s="62"/>
      <c r="E30" s="63" t="s">
        <v>81</v>
      </c>
      <c r="F30" s="54"/>
      <c r="G30" s="49">
        <v>26.7</v>
      </c>
      <c r="H30" s="49">
        <v>1.96</v>
      </c>
      <c r="I30" s="49">
        <v>43.7</v>
      </c>
      <c r="J30" s="50"/>
      <c r="K30" s="69">
        <v>552</v>
      </c>
      <c r="L30" s="60">
        <v>574</v>
      </c>
      <c r="M30" s="51">
        <v>2</v>
      </c>
      <c r="N30" s="47">
        <v>4</v>
      </c>
      <c r="P30" s="30">
        <f t="shared" si="1"/>
        <v>574</v>
      </c>
    </row>
    <row r="31" spans="1:16" ht="66" customHeight="1">
      <c r="A31" s="45">
        <v>155</v>
      </c>
      <c r="B31" s="63">
        <v>49</v>
      </c>
      <c r="C31" s="53" t="s">
        <v>82</v>
      </c>
      <c r="D31" s="62"/>
      <c r="E31" s="63" t="s">
        <v>50</v>
      </c>
      <c r="F31" s="54"/>
      <c r="G31" s="49">
        <v>27.443333333333332</v>
      </c>
      <c r="H31" s="49">
        <v>1.6</v>
      </c>
      <c r="I31" s="49">
        <v>34.049999999999997</v>
      </c>
      <c r="J31" s="50"/>
      <c r="K31" s="68">
        <v>355</v>
      </c>
      <c r="L31" s="60">
        <v>475</v>
      </c>
      <c r="M31" s="51">
        <v>3</v>
      </c>
      <c r="N31" s="47">
        <v>4</v>
      </c>
      <c r="P31" s="30">
        <f t="shared" si="1"/>
        <v>475</v>
      </c>
    </row>
    <row r="32" spans="1:16" ht="66" customHeight="1">
      <c r="A32" s="45">
        <v>155</v>
      </c>
      <c r="B32" s="63">
        <v>50</v>
      </c>
      <c r="C32" s="53" t="s">
        <v>83</v>
      </c>
      <c r="D32" s="62"/>
      <c r="E32" s="63" t="s">
        <v>84</v>
      </c>
      <c r="F32" s="46"/>
      <c r="G32" s="49">
        <v>31.504999999999999</v>
      </c>
      <c r="H32" s="49">
        <v>1.75</v>
      </c>
      <c r="I32" s="49">
        <v>66.5</v>
      </c>
      <c r="J32" s="50"/>
      <c r="K32" s="69">
        <v>418</v>
      </c>
      <c r="L32" s="60">
        <v>747</v>
      </c>
      <c r="M32" s="51">
        <v>2</v>
      </c>
      <c r="N32" s="47">
        <v>4</v>
      </c>
      <c r="P32" s="30">
        <f t="shared" si="1"/>
        <v>747</v>
      </c>
    </row>
    <row r="33" spans="1:16" ht="66" customHeight="1">
      <c r="A33" s="45">
        <v>155</v>
      </c>
      <c r="B33" s="63">
        <v>51</v>
      </c>
      <c r="C33" s="53" t="s">
        <v>85</v>
      </c>
      <c r="D33" s="62"/>
      <c r="E33" s="63" t="s">
        <v>34</v>
      </c>
      <c r="F33" s="54"/>
      <c r="G33" s="49">
        <v>31.11</v>
      </c>
      <c r="H33" s="49">
        <v>1.6</v>
      </c>
      <c r="I33" s="49">
        <v>43.9</v>
      </c>
      <c r="J33" s="50"/>
      <c r="K33" s="68">
        <v>355</v>
      </c>
      <c r="L33" s="60">
        <v>502</v>
      </c>
      <c r="M33" s="51">
        <v>3</v>
      </c>
      <c r="N33" s="47">
        <v>4</v>
      </c>
      <c r="P33" s="30">
        <f t="shared" si="1"/>
        <v>502</v>
      </c>
    </row>
    <row r="34" spans="1:16" ht="66" customHeight="1">
      <c r="A34" s="45">
        <v>155</v>
      </c>
      <c r="B34" s="63">
        <v>52</v>
      </c>
      <c r="C34" s="53" t="s">
        <v>86</v>
      </c>
      <c r="D34" s="62"/>
      <c r="E34" s="63" t="s">
        <v>87</v>
      </c>
      <c r="F34" s="52"/>
      <c r="G34" s="49">
        <v>28.504999999999999</v>
      </c>
      <c r="H34" s="49">
        <v>1.6</v>
      </c>
      <c r="I34" s="49">
        <v>40.1</v>
      </c>
      <c r="J34" s="50"/>
      <c r="K34" s="68">
        <v>355</v>
      </c>
      <c r="L34" s="60">
        <v>444</v>
      </c>
      <c r="M34" s="51">
        <v>2</v>
      </c>
      <c r="N34" s="47">
        <v>4</v>
      </c>
      <c r="P34" s="30">
        <f t="shared" si="1"/>
        <v>444</v>
      </c>
    </row>
    <row r="35" spans="1:16" ht="66" customHeight="1">
      <c r="A35" s="45">
        <v>155</v>
      </c>
      <c r="B35" s="63">
        <v>53</v>
      </c>
      <c r="C35" s="53" t="s">
        <v>88</v>
      </c>
      <c r="D35" s="62"/>
      <c r="E35" s="63" t="s">
        <v>69</v>
      </c>
      <c r="F35" s="46"/>
      <c r="G35" s="55">
        <v>28.243333333333336</v>
      </c>
      <c r="H35" s="49">
        <v>1.6</v>
      </c>
      <c r="I35" s="49">
        <v>44.3</v>
      </c>
      <c r="J35" s="50"/>
      <c r="K35" s="68">
        <v>355</v>
      </c>
      <c r="L35" s="60">
        <v>445</v>
      </c>
      <c r="M35" s="51">
        <v>3</v>
      </c>
      <c r="N35" s="47">
        <v>4</v>
      </c>
      <c r="P35" s="30">
        <f t="shared" si="1"/>
        <v>445</v>
      </c>
    </row>
    <row r="36" spans="1:16" ht="66" customHeight="1">
      <c r="A36" s="45">
        <v>155</v>
      </c>
      <c r="B36" s="63">
        <v>54</v>
      </c>
      <c r="C36" s="53" t="s">
        <v>89</v>
      </c>
      <c r="D36" s="62"/>
      <c r="E36" s="63" t="s">
        <v>90</v>
      </c>
      <c r="F36" s="46"/>
      <c r="G36" s="49">
        <v>28.3</v>
      </c>
      <c r="H36" s="49">
        <v>1.6</v>
      </c>
      <c r="I36" s="49">
        <v>39</v>
      </c>
      <c r="J36" s="50"/>
      <c r="K36" s="68">
        <v>355</v>
      </c>
      <c r="L36" s="60">
        <v>485</v>
      </c>
      <c r="M36" s="51">
        <v>1</v>
      </c>
      <c r="N36" s="47">
        <v>4</v>
      </c>
      <c r="P36" s="30">
        <f t="shared" si="1"/>
        <v>485</v>
      </c>
    </row>
    <row r="37" spans="1:16" ht="66" customHeight="1">
      <c r="A37" s="45">
        <v>155</v>
      </c>
      <c r="B37" s="63">
        <v>65</v>
      </c>
      <c r="C37" s="53" t="s">
        <v>91</v>
      </c>
      <c r="D37" s="62"/>
      <c r="E37" s="63" t="s">
        <v>92</v>
      </c>
      <c r="F37" s="46"/>
      <c r="G37" s="49">
        <v>99.11</v>
      </c>
      <c r="H37" s="49">
        <v>3.44</v>
      </c>
      <c r="I37" s="49">
        <v>169.29999999999998</v>
      </c>
      <c r="J37" s="50"/>
      <c r="K37" s="69">
        <v>278</v>
      </c>
      <c r="L37" s="60">
        <v>1258</v>
      </c>
      <c r="M37" s="51">
        <v>1</v>
      </c>
      <c r="N37" s="47">
        <v>4</v>
      </c>
      <c r="P37" s="30">
        <f t="shared" si="1"/>
        <v>1258</v>
      </c>
    </row>
    <row r="38" spans="1:16" ht="66" customHeight="1">
      <c r="A38" s="45">
        <v>155</v>
      </c>
      <c r="B38" s="63">
        <v>68</v>
      </c>
      <c r="C38" s="53" t="s">
        <v>93</v>
      </c>
      <c r="D38" s="62"/>
      <c r="E38" s="63" t="s">
        <v>94</v>
      </c>
      <c r="F38" s="54"/>
      <c r="G38" s="49">
        <v>28.274999999999999</v>
      </c>
      <c r="H38" s="49">
        <v>2.9</v>
      </c>
      <c r="I38" s="49">
        <v>22.5</v>
      </c>
      <c r="J38" s="50"/>
      <c r="K38" s="68">
        <v>448</v>
      </c>
      <c r="L38" s="60">
        <v>791</v>
      </c>
      <c r="M38" s="51">
        <v>2</v>
      </c>
      <c r="N38" s="47">
        <v>4</v>
      </c>
      <c r="P38" s="30">
        <f t="shared" si="1"/>
        <v>791</v>
      </c>
    </row>
    <row r="39" spans="1:16" ht="66" customHeight="1">
      <c r="A39" s="45">
        <v>155</v>
      </c>
      <c r="B39" s="63">
        <v>70</v>
      </c>
      <c r="C39" s="53" t="s">
        <v>95</v>
      </c>
      <c r="D39" s="62"/>
      <c r="E39" s="63" t="s">
        <v>94</v>
      </c>
      <c r="F39" s="54"/>
      <c r="G39" s="49">
        <v>28.53</v>
      </c>
      <c r="H39" s="49">
        <v>3.96</v>
      </c>
      <c r="I39" s="49">
        <v>22.5</v>
      </c>
      <c r="J39" s="50"/>
      <c r="K39" s="69">
        <v>448</v>
      </c>
      <c r="L39" s="60">
        <v>913</v>
      </c>
      <c r="M39" s="51">
        <v>1</v>
      </c>
      <c r="N39" s="47">
        <v>4</v>
      </c>
      <c r="P39" s="30">
        <f t="shared" si="1"/>
        <v>913</v>
      </c>
    </row>
    <row r="40" spans="1:16" ht="66" customHeight="1">
      <c r="A40" s="45">
        <v>155</v>
      </c>
      <c r="B40" s="63">
        <v>71</v>
      </c>
      <c r="C40" s="53" t="s">
        <v>96</v>
      </c>
      <c r="D40" s="62"/>
      <c r="E40" s="63" t="s">
        <v>97</v>
      </c>
      <c r="F40" s="54"/>
      <c r="G40" s="49">
        <v>29.28</v>
      </c>
      <c r="H40" s="49">
        <v>3.96</v>
      </c>
      <c r="I40" s="49">
        <v>22.5</v>
      </c>
      <c r="J40" s="50"/>
      <c r="K40" s="68">
        <v>448</v>
      </c>
      <c r="L40" s="60">
        <v>885</v>
      </c>
      <c r="M40" s="51">
        <v>1</v>
      </c>
      <c r="N40" s="47">
        <v>4</v>
      </c>
      <c r="P40" s="30">
        <f t="shared" si="1"/>
        <v>885</v>
      </c>
    </row>
    <row r="41" spans="1:16" ht="66" customHeight="1">
      <c r="A41" s="45">
        <v>155</v>
      </c>
      <c r="B41" s="63">
        <v>74</v>
      </c>
      <c r="C41" s="53" t="s">
        <v>98</v>
      </c>
      <c r="D41" s="62"/>
      <c r="E41" s="63" t="s">
        <v>94</v>
      </c>
      <c r="F41" s="54"/>
      <c r="G41" s="49">
        <v>18.82</v>
      </c>
      <c r="H41" s="49">
        <v>3.02</v>
      </c>
      <c r="I41" s="49">
        <v>14.57</v>
      </c>
      <c r="J41" s="50"/>
      <c r="K41" s="68">
        <v>101</v>
      </c>
      <c r="L41" s="60">
        <v>836</v>
      </c>
      <c r="M41" s="51">
        <v>1</v>
      </c>
      <c r="N41" s="47">
        <v>4</v>
      </c>
      <c r="P41" s="30">
        <f t="shared" si="1"/>
        <v>836</v>
      </c>
    </row>
    <row r="42" spans="1:16" ht="66" customHeight="1">
      <c r="A42" s="45">
        <v>155</v>
      </c>
      <c r="B42" s="5">
        <v>75</v>
      </c>
      <c r="C42" s="53" t="s">
        <v>99</v>
      </c>
      <c r="D42" s="64"/>
      <c r="E42" s="5" t="s">
        <v>100</v>
      </c>
      <c r="F42" s="54"/>
      <c r="G42" s="49">
        <v>18.25</v>
      </c>
      <c r="H42" s="49">
        <v>3.02</v>
      </c>
      <c r="I42" s="49">
        <v>13.1</v>
      </c>
      <c r="J42" s="50"/>
      <c r="K42" s="68">
        <v>101</v>
      </c>
      <c r="L42" s="60">
        <v>807</v>
      </c>
      <c r="M42" s="51">
        <v>2</v>
      </c>
      <c r="N42" s="47">
        <v>4</v>
      </c>
      <c r="P42" s="30">
        <f t="shared" si="1"/>
        <v>807</v>
      </c>
    </row>
    <row r="43" spans="1:16" ht="66" customHeight="1">
      <c r="A43" s="45">
        <v>155</v>
      </c>
      <c r="B43" s="63">
        <v>1</v>
      </c>
      <c r="C43" s="62" t="s">
        <v>101</v>
      </c>
      <c r="D43" s="62"/>
      <c r="E43" s="63" t="s">
        <v>102</v>
      </c>
      <c r="F43" s="54"/>
      <c r="G43" s="49">
        <v>19.73</v>
      </c>
      <c r="H43" s="49">
        <v>2.2000000000000002</v>
      </c>
      <c r="I43" s="49">
        <v>12.15</v>
      </c>
      <c r="J43" s="50"/>
      <c r="K43" s="68">
        <v>518</v>
      </c>
      <c r="L43" s="60">
        <v>631</v>
      </c>
      <c r="M43" s="51">
        <v>1</v>
      </c>
      <c r="N43" s="56">
        <v>1</v>
      </c>
      <c r="P43" s="30">
        <f t="shared" si="1"/>
        <v>631</v>
      </c>
    </row>
    <row r="44" spans="1:16" ht="66" customHeight="1">
      <c r="A44" s="45">
        <v>155</v>
      </c>
      <c r="B44" s="63">
        <v>3</v>
      </c>
      <c r="C44" s="62" t="s">
        <v>103</v>
      </c>
      <c r="D44" s="62"/>
      <c r="E44" s="63" t="s">
        <v>104</v>
      </c>
      <c r="F44" s="54"/>
      <c r="G44" s="49">
        <v>22.62</v>
      </c>
      <c r="H44" s="49">
        <v>2.2200000000000002</v>
      </c>
      <c r="I44" s="49">
        <v>15.8</v>
      </c>
      <c r="J44" s="50"/>
      <c r="K44" s="68">
        <v>514</v>
      </c>
      <c r="L44" s="60">
        <v>813</v>
      </c>
      <c r="M44" s="51">
        <v>1</v>
      </c>
      <c r="N44" s="56">
        <v>1</v>
      </c>
      <c r="P44" s="30">
        <f t="shared" si="1"/>
        <v>813</v>
      </c>
    </row>
    <row r="45" spans="1:16" ht="66" customHeight="1">
      <c r="A45" s="45">
        <v>155</v>
      </c>
      <c r="B45" s="63">
        <v>5</v>
      </c>
      <c r="C45" s="62" t="s">
        <v>105</v>
      </c>
      <c r="D45" s="62"/>
      <c r="E45" s="63" t="s">
        <v>106</v>
      </c>
      <c r="F45" s="42"/>
      <c r="G45" s="6">
        <v>10.81</v>
      </c>
      <c r="H45" s="6">
        <v>1.56</v>
      </c>
      <c r="I45" s="6">
        <v>8.02</v>
      </c>
      <c r="J45" s="23"/>
      <c r="K45" s="37">
        <v>40</v>
      </c>
      <c r="L45" s="3">
        <v>636</v>
      </c>
      <c r="M45" s="41">
        <v>1</v>
      </c>
      <c r="N45" s="56">
        <v>1</v>
      </c>
      <c r="P45" s="30">
        <f t="shared" si="1"/>
        <v>636</v>
      </c>
    </row>
    <row r="46" spans="1:16" ht="66" customHeight="1">
      <c r="A46" s="45">
        <v>155</v>
      </c>
      <c r="B46" s="63">
        <v>6</v>
      </c>
      <c r="C46" s="62" t="s">
        <v>107</v>
      </c>
      <c r="D46" s="62"/>
      <c r="E46" s="63" t="s">
        <v>102</v>
      </c>
      <c r="F46" s="44"/>
      <c r="G46" s="6">
        <v>21.16</v>
      </c>
      <c r="H46" s="6">
        <v>2.2200000000000002</v>
      </c>
      <c r="I46" s="6">
        <v>15.75</v>
      </c>
      <c r="J46" s="23"/>
      <c r="K46" s="37">
        <v>518</v>
      </c>
      <c r="L46" s="3">
        <v>659</v>
      </c>
      <c r="M46" s="37">
        <v>1</v>
      </c>
      <c r="N46" s="56">
        <v>1</v>
      </c>
      <c r="P46" s="30">
        <f t="shared" si="1"/>
        <v>659</v>
      </c>
    </row>
    <row r="47" spans="1:16" ht="66" customHeight="1">
      <c r="A47" s="45">
        <v>155</v>
      </c>
      <c r="B47" s="63">
        <v>8</v>
      </c>
      <c r="C47" s="62" t="s">
        <v>108</v>
      </c>
      <c r="D47" s="62"/>
      <c r="E47" s="63" t="s">
        <v>109</v>
      </c>
      <c r="F47" s="44"/>
      <c r="G47" s="6">
        <v>18.579999999999998</v>
      </c>
      <c r="H47" s="6">
        <v>2.2000000000000002</v>
      </c>
      <c r="I47" s="6">
        <v>8.6999999999999993</v>
      </c>
      <c r="J47" s="23"/>
      <c r="K47" s="37">
        <v>510</v>
      </c>
      <c r="L47" s="3">
        <v>773</v>
      </c>
      <c r="M47" s="37">
        <v>1</v>
      </c>
      <c r="N47" s="56">
        <v>1</v>
      </c>
      <c r="P47" s="30">
        <f t="shared" si="1"/>
        <v>773</v>
      </c>
    </row>
    <row r="48" spans="1:16" ht="66" customHeight="1">
      <c r="A48" s="45">
        <v>155</v>
      </c>
      <c r="B48" s="63">
        <v>10</v>
      </c>
      <c r="C48" s="62" t="s">
        <v>110</v>
      </c>
      <c r="D48" s="62"/>
      <c r="E48" s="63" t="s">
        <v>111</v>
      </c>
      <c r="F48" s="42"/>
      <c r="G48" s="6">
        <v>21.26</v>
      </c>
      <c r="H48" s="6">
        <v>0.7</v>
      </c>
      <c r="I48" s="6">
        <v>48.519999999999996</v>
      </c>
      <c r="J48" s="23"/>
      <c r="K48" s="37">
        <v>126</v>
      </c>
      <c r="L48" s="3">
        <v>501</v>
      </c>
      <c r="M48" s="37">
        <v>1</v>
      </c>
      <c r="N48" s="56">
        <v>1</v>
      </c>
      <c r="P48" s="30">
        <f t="shared" si="1"/>
        <v>501</v>
      </c>
    </row>
    <row r="49" spans="1:16" ht="66" customHeight="1">
      <c r="A49" s="45">
        <v>155</v>
      </c>
      <c r="B49" s="63">
        <v>11</v>
      </c>
      <c r="C49" s="62" t="s">
        <v>112</v>
      </c>
      <c r="D49" s="62"/>
      <c r="E49" s="63" t="s">
        <v>113</v>
      </c>
      <c r="F49" s="44"/>
      <c r="G49" s="6">
        <v>12.744999999999999</v>
      </c>
      <c r="H49" s="6">
        <v>0.95</v>
      </c>
      <c r="I49" s="6">
        <v>31.4</v>
      </c>
      <c r="J49" s="23"/>
      <c r="K49" s="37">
        <v>142</v>
      </c>
      <c r="L49" s="3">
        <v>409</v>
      </c>
      <c r="M49" s="41">
        <v>2</v>
      </c>
      <c r="N49" s="56">
        <v>1</v>
      </c>
      <c r="P49" s="30">
        <f t="shared" si="1"/>
        <v>409</v>
      </c>
    </row>
    <row r="50" spans="1:16" ht="66" customHeight="1">
      <c r="A50" s="45">
        <v>155</v>
      </c>
      <c r="B50" s="63">
        <v>13</v>
      </c>
      <c r="C50" s="62" t="s">
        <v>114</v>
      </c>
      <c r="D50" s="62"/>
      <c r="E50" s="63" t="s">
        <v>115</v>
      </c>
      <c r="F50" s="44"/>
      <c r="G50" s="6">
        <v>17.84</v>
      </c>
      <c r="H50" s="6">
        <v>1.55</v>
      </c>
      <c r="I50" s="6">
        <v>38.72</v>
      </c>
      <c r="J50" s="23"/>
      <c r="K50" s="37">
        <v>260</v>
      </c>
      <c r="L50" s="3">
        <v>440</v>
      </c>
      <c r="M50" s="41">
        <v>1</v>
      </c>
      <c r="N50" s="56">
        <v>1</v>
      </c>
      <c r="P50" s="30">
        <f t="shared" si="1"/>
        <v>440</v>
      </c>
    </row>
    <row r="51" spans="1:16" ht="66" customHeight="1">
      <c r="A51" s="45">
        <v>155</v>
      </c>
      <c r="B51" s="63">
        <v>14</v>
      </c>
      <c r="C51" s="62" t="s">
        <v>116</v>
      </c>
      <c r="D51" s="62"/>
      <c r="E51" s="63" t="s">
        <v>117</v>
      </c>
      <c r="F51" s="44"/>
      <c r="G51" s="6">
        <v>20.399999999999999</v>
      </c>
      <c r="H51" s="6">
        <v>2.1</v>
      </c>
      <c r="I51" s="6">
        <v>44.37</v>
      </c>
      <c r="J51" s="23"/>
      <c r="K51" s="37">
        <v>236</v>
      </c>
      <c r="L51" s="3">
        <v>631</v>
      </c>
      <c r="M51" s="41">
        <v>1</v>
      </c>
      <c r="N51" s="56">
        <v>1</v>
      </c>
      <c r="P51" s="30">
        <f t="shared" si="1"/>
        <v>631</v>
      </c>
    </row>
    <row r="52" spans="1:16" ht="66" customHeight="1">
      <c r="A52" s="45">
        <v>155</v>
      </c>
      <c r="B52" s="63">
        <v>15</v>
      </c>
      <c r="C52" s="62" t="s">
        <v>118</v>
      </c>
      <c r="D52" s="62"/>
      <c r="E52" s="63" t="s">
        <v>117</v>
      </c>
      <c r="F52" s="43"/>
      <c r="G52" s="6">
        <v>15.59</v>
      </c>
      <c r="H52" s="6">
        <v>1.82</v>
      </c>
      <c r="I52" s="6">
        <v>33.64</v>
      </c>
      <c r="J52" s="23"/>
      <c r="K52" s="37">
        <v>304</v>
      </c>
      <c r="L52" s="3">
        <v>525</v>
      </c>
      <c r="M52" s="41">
        <v>1</v>
      </c>
      <c r="N52" s="56">
        <v>1</v>
      </c>
      <c r="P52" s="30">
        <f t="shared" si="1"/>
        <v>525</v>
      </c>
    </row>
    <row r="53" spans="1:16" ht="66" customHeight="1">
      <c r="A53" s="45">
        <v>155</v>
      </c>
      <c r="B53" s="63">
        <v>16</v>
      </c>
      <c r="C53" s="62" t="s">
        <v>119</v>
      </c>
      <c r="D53" s="62"/>
      <c r="E53" s="63" t="s">
        <v>120</v>
      </c>
      <c r="F53" s="42"/>
      <c r="G53" s="6">
        <v>18.34</v>
      </c>
      <c r="H53" s="6">
        <v>1.67</v>
      </c>
      <c r="I53" s="6">
        <v>26.94</v>
      </c>
      <c r="J53" s="23"/>
      <c r="K53" s="37">
        <v>368</v>
      </c>
      <c r="L53" s="3">
        <v>410</v>
      </c>
      <c r="M53" s="41">
        <v>1</v>
      </c>
      <c r="N53" s="56">
        <v>1</v>
      </c>
      <c r="P53" s="30">
        <f t="shared" si="1"/>
        <v>410</v>
      </c>
    </row>
    <row r="54" spans="1:16" ht="66" customHeight="1">
      <c r="A54" s="45">
        <v>155</v>
      </c>
      <c r="B54" s="63">
        <v>17</v>
      </c>
      <c r="C54" s="62" t="s">
        <v>121</v>
      </c>
      <c r="D54" s="62"/>
      <c r="E54" s="63" t="s">
        <v>122</v>
      </c>
      <c r="F54" s="42"/>
      <c r="G54" s="6">
        <v>11.82</v>
      </c>
      <c r="H54" s="6">
        <v>20.580000000000002</v>
      </c>
      <c r="I54" s="6">
        <v>0.15</v>
      </c>
      <c r="J54" s="23"/>
      <c r="K54" s="37">
        <v>170</v>
      </c>
      <c r="L54" s="3">
        <v>339</v>
      </c>
      <c r="M54" s="41">
        <v>1</v>
      </c>
      <c r="N54" s="56">
        <v>1</v>
      </c>
      <c r="P54" s="30">
        <f t="shared" si="1"/>
        <v>339</v>
      </c>
    </row>
    <row r="55" spans="1:16" ht="66" customHeight="1">
      <c r="A55" s="45">
        <v>155</v>
      </c>
      <c r="B55" s="5">
        <v>18</v>
      </c>
      <c r="C55" s="62" t="s">
        <v>123</v>
      </c>
      <c r="D55" s="62"/>
      <c r="E55" s="63" t="s">
        <v>122</v>
      </c>
      <c r="F55" s="42"/>
      <c r="G55" s="23">
        <v>17.739999999999998</v>
      </c>
      <c r="H55" s="6">
        <v>27.98</v>
      </c>
      <c r="I55" s="6">
        <v>0.15</v>
      </c>
      <c r="J55" s="23"/>
      <c r="K55" s="37">
        <v>210</v>
      </c>
      <c r="L55" s="3">
        <v>427</v>
      </c>
      <c r="M55" s="38">
        <v>1</v>
      </c>
      <c r="N55" s="56">
        <v>1</v>
      </c>
      <c r="P55" s="30">
        <f t="shared" si="1"/>
        <v>427</v>
      </c>
    </row>
    <row r="56" spans="1:16" ht="66" customHeight="1">
      <c r="A56" s="45">
        <v>155</v>
      </c>
      <c r="B56" s="63">
        <v>19</v>
      </c>
      <c r="C56" s="62" t="s">
        <v>124</v>
      </c>
      <c r="D56" s="62"/>
      <c r="E56" s="63" t="s">
        <v>125</v>
      </c>
      <c r="F56" s="43"/>
      <c r="G56" s="6">
        <v>23.65</v>
      </c>
      <c r="H56" s="6">
        <v>41.489999999999995</v>
      </c>
      <c r="I56" s="6">
        <v>0.12</v>
      </c>
      <c r="J56" s="23"/>
      <c r="K56" s="37">
        <v>258</v>
      </c>
      <c r="L56" s="3">
        <v>553</v>
      </c>
      <c r="M56" s="41">
        <v>1</v>
      </c>
      <c r="N56" s="56">
        <v>1</v>
      </c>
      <c r="P56" s="30">
        <f t="shared" si="1"/>
        <v>553</v>
      </c>
    </row>
    <row r="57" spans="1:16" ht="66" customHeight="1">
      <c r="A57" s="45">
        <v>155</v>
      </c>
      <c r="B57" s="63">
        <v>20</v>
      </c>
      <c r="C57" s="62" t="s">
        <v>126</v>
      </c>
      <c r="D57" s="62"/>
      <c r="E57" s="63" t="s">
        <v>127</v>
      </c>
      <c r="F57" s="42"/>
      <c r="G57" s="6">
        <v>17.47</v>
      </c>
      <c r="H57" s="6">
        <v>1.43</v>
      </c>
      <c r="I57" s="6">
        <v>31.150000000000002</v>
      </c>
      <c r="J57" s="23"/>
      <c r="K57" s="37">
        <v>168</v>
      </c>
      <c r="L57" s="3">
        <v>406</v>
      </c>
      <c r="M57" s="37">
        <v>1</v>
      </c>
      <c r="N57" s="56">
        <v>1</v>
      </c>
      <c r="P57" s="30">
        <f t="shared" si="1"/>
        <v>406</v>
      </c>
    </row>
    <row r="58" spans="1:16" ht="66" customHeight="1">
      <c r="A58" s="45">
        <v>155</v>
      </c>
      <c r="B58" s="63">
        <v>21</v>
      </c>
      <c r="C58" s="62" t="s">
        <v>128</v>
      </c>
      <c r="D58" s="62"/>
      <c r="E58" s="63" t="s">
        <v>129</v>
      </c>
      <c r="F58" s="43"/>
      <c r="G58" s="6">
        <v>21.54</v>
      </c>
      <c r="H58" s="6">
        <v>1.45</v>
      </c>
      <c r="I58" s="6">
        <v>51.2</v>
      </c>
      <c r="J58" s="23"/>
      <c r="K58" s="37">
        <v>172</v>
      </c>
      <c r="L58" s="3">
        <v>536</v>
      </c>
      <c r="M58" s="37">
        <v>1</v>
      </c>
      <c r="N58" s="56">
        <v>1</v>
      </c>
      <c r="P58" s="30">
        <f t="shared" si="1"/>
        <v>536</v>
      </c>
    </row>
    <row r="59" spans="1:16" ht="66" customHeight="1">
      <c r="A59" s="45">
        <v>155</v>
      </c>
      <c r="B59" s="63">
        <v>23</v>
      </c>
      <c r="C59" s="62" t="s">
        <v>130</v>
      </c>
      <c r="D59" s="62"/>
      <c r="E59" s="63" t="s">
        <v>131</v>
      </c>
      <c r="F59" s="44"/>
      <c r="G59" s="6">
        <v>16.739999999999998</v>
      </c>
      <c r="H59" s="6">
        <v>1.35</v>
      </c>
      <c r="I59" s="6">
        <v>36.36</v>
      </c>
      <c r="J59" s="23"/>
      <c r="K59" s="37">
        <v>160</v>
      </c>
      <c r="L59" s="3">
        <v>485</v>
      </c>
      <c r="M59" s="37">
        <v>1</v>
      </c>
      <c r="N59" s="56">
        <v>1</v>
      </c>
      <c r="P59" s="30">
        <f t="shared" si="1"/>
        <v>485</v>
      </c>
    </row>
    <row r="60" spans="1:16" ht="66" customHeight="1">
      <c r="A60" s="45">
        <v>155</v>
      </c>
      <c r="B60" s="63">
        <v>24</v>
      </c>
      <c r="C60" s="62" t="s">
        <v>132</v>
      </c>
      <c r="D60" s="62"/>
      <c r="E60" s="63" t="s">
        <v>133</v>
      </c>
      <c r="F60" s="44"/>
      <c r="G60" s="6">
        <v>23.51</v>
      </c>
      <c r="H60" s="6">
        <v>1.4</v>
      </c>
      <c r="I60" s="6">
        <v>45.76</v>
      </c>
      <c r="J60" s="23"/>
      <c r="K60" s="37">
        <v>372</v>
      </c>
      <c r="L60" s="3">
        <v>404</v>
      </c>
      <c r="M60" s="41">
        <v>1</v>
      </c>
      <c r="N60" s="56">
        <v>1</v>
      </c>
      <c r="P60" s="30">
        <f t="shared" si="1"/>
        <v>404</v>
      </c>
    </row>
    <row r="61" spans="1:16" ht="66" customHeight="1">
      <c r="A61" s="45">
        <v>155</v>
      </c>
      <c r="B61" s="63">
        <v>25</v>
      </c>
      <c r="C61" s="62" t="s">
        <v>134</v>
      </c>
      <c r="D61" s="62"/>
      <c r="E61" s="63" t="s">
        <v>135</v>
      </c>
      <c r="F61" s="44"/>
      <c r="G61" s="6">
        <v>25.41</v>
      </c>
      <c r="H61" s="6">
        <v>1.45</v>
      </c>
      <c r="I61" s="6">
        <v>52.2</v>
      </c>
      <c r="J61" s="23"/>
      <c r="K61" s="37">
        <v>382</v>
      </c>
      <c r="L61" s="3">
        <v>606</v>
      </c>
      <c r="M61" s="41">
        <v>1</v>
      </c>
      <c r="N61" s="56">
        <v>1</v>
      </c>
      <c r="P61" s="30">
        <f t="shared" si="1"/>
        <v>606</v>
      </c>
    </row>
    <row r="62" spans="1:16" ht="66" customHeight="1">
      <c r="A62" s="45">
        <v>155</v>
      </c>
      <c r="B62" s="63">
        <v>38</v>
      </c>
      <c r="C62" s="62" t="s">
        <v>136</v>
      </c>
      <c r="D62" s="62"/>
      <c r="E62" s="63" t="s">
        <v>115</v>
      </c>
      <c r="F62" s="43"/>
      <c r="G62" s="6">
        <v>24.08</v>
      </c>
      <c r="H62" s="6">
        <v>1.41</v>
      </c>
      <c r="I62" s="6">
        <v>42.65</v>
      </c>
      <c r="J62" s="23"/>
      <c r="K62" s="37">
        <v>388</v>
      </c>
      <c r="L62" s="3">
        <v>492</v>
      </c>
      <c r="M62" s="41">
        <v>1</v>
      </c>
      <c r="N62" s="56">
        <v>1</v>
      </c>
      <c r="P62" s="30">
        <f t="shared" si="1"/>
        <v>492</v>
      </c>
    </row>
    <row r="63" spans="1:16" ht="66" customHeight="1">
      <c r="A63" s="45">
        <v>155</v>
      </c>
      <c r="B63" s="63">
        <v>44</v>
      </c>
      <c r="C63" s="62" t="s">
        <v>137</v>
      </c>
      <c r="D63" s="62"/>
      <c r="E63" s="63" t="s">
        <v>138</v>
      </c>
      <c r="F63" s="44"/>
      <c r="G63" s="6">
        <v>23.05</v>
      </c>
      <c r="H63" s="6">
        <v>0.85</v>
      </c>
      <c r="I63" s="6">
        <v>44.6</v>
      </c>
      <c r="J63" s="23"/>
      <c r="K63" s="37">
        <v>196</v>
      </c>
      <c r="L63" s="3">
        <v>381</v>
      </c>
      <c r="M63" s="37">
        <v>1</v>
      </c>
      <c r="N63" s="56">
        <v>1</v>
      </c>
      <c r="P63" s="30">
        <f t="shared" si="1"/>
        <v>381</v>
      </c>
    </row>
    <row r="64" spans="1:16" ht="66" customHeight="1">
      <c r="A64" s="45">
        <v>155</v>
      </c>
      <c r="B64" s="63">
        <v>45</v>
      </c>
      <c r="C64" s="62" t="s">
        <v>139</v>
      </c>
      <c r="D64" s="62"/>
      <c r="E64" s="63" t="s">
        <v>140</v>
      </c>
      <c r="F64" s="44"/>
      <c r="G64" s="6">
        <v>22.72</v>
      </c>
      <c r="H64" s="6">
        <v>0.85</v>
      </c>
      <c r="I64" s="6">
        <v>44.62</v>
      </c>
      <c r="J64" s="23"/>
      <c r="K64" s="37">
        <v>196</v>
      </c>
      <c r="L64" s="3">
        <v>475</v>
      </c>
      <c r="M64" s="41">
        <v>1</v>
      </c>
      <c r="N64" s="56">
        <v>1</v>
      </c>
      <c r="P64" s="30">
        <f t="shared" si="1"/>
        <v>475</v>
      </c>
    </row>
    <row r="65" spans="1:16" ht="66" customHeight="1">
      <c r="A65" s="45">
        <v>155</v>
      </c>
      <c r="B65" s="63">
        <v>46</v>
      </c>
      <c r="C65" s="62" t="s">
        <v>141</v>
      </c>
      <c r="D65" s="62"/>
      <c r="E65" s="63" t="s">
        <v>142</v>
      </c>
      <c r="F65" s="44"/>
      <c r="G65" s="6">
        <v>22.34</v>
      </c>
      <c r="H65" s="6">
        <v>0.85</v>
      </c>
      <c r="I65" s="6">
        <v>43.5</v>
      </c>
      <c r="J65" s="23"/>
      <c r="K65" s="37">
        <v>196</v>
      </c>
      <c r="L65" s="3">
        <v>488</v>
      </c>
      <c r="M65" s="41">
        <v>1</v>
      </c>
      <c r="N65" s="56">
        <v>1</v>
      </c>
      <c r="P65" s="30">
        <f t="shared" si="1"/>
        <v>488</v>
      </c>
    </row>
    <row r="66" spans="1:16" ht="66" customHeight="1">
      <c r="A66" s="45">
        <v>155</v>
      </c>
      <c r="B66" s="63">
        <v>47</v>
      </c>
      <c r="C66" s="62" t="s">
        <v>143</v>
      </c>
      <c r="D66" s="62"/>
      <c r="E66" s="63" t="s">
        <v>140</v>
      </c>
      <c r="F66" s="43"/>
      <c r="G66" s="6">
        <v>18.77</v>
      </c>
      <c r="H66" s="6">
        <v>0.96</v>
      </c>
      <c r="I66" s="6">
        <v>60.58</v>
      </c>
      <c r="J66" s="23"/>
      <c r="K66" s="37">
        <v>114</v>
      </c>
      <c r="L66" s="3">
        <v>404</v>
      </c>
      <c r="M66" s="41">
        <v>1</v>
      </c>
      <c r="N66" s="56">
        <v>1</v>
      </c>
      <c r="P66" s="30">
        <f t="shared" si="1"/>
        <v>404</v>
      </c>
    </row>
    <row r="67" spans="1:16" ht="66" customHeight="1">
      <c r="A67" s="45">
        <v>155</v>
      </c>
      <c r="B67" s="5">
        <v>48</v>
      </c>
      <c r="C67" s="62" t="s">
        <v>144</v>
      </c>
      <c r="D67" s="64"/>
      <c r="E67" s="5" t="s">
        <v>145</v>
      </c>
      <c r="F67" s="44"/>
      <c r="G67" s="6">
        <v>19.670000000000002</v>
      </c>
      <c r="H67" s="6">
        <v>0.96</v>
      </c>
      <c r="I67" s="6">
        <v>64.98</v>
      </c>
      <c r="J67" s="23"/>
      <c r="K67" s="37">
        <v>114</v>
      </c>
      <c r="L67" s="3">
        <v>385</v>
      </c>
      <c r="M67" s="41">
        <v>1</v>
      </c>
      <c r="N67" s="56">
        <v>1</v>
      </c>
      <c r="P67" s="30">
        <f t="shared" si="1"/>
        <v>385</v>
      </c>
    </row>
    <row r="68" spans="1:16" ht="66" customHeight="1">
      <c r="A68" s="45">
        <v>155</v>
      </c>
      <c r="B68" s="63">
        <v>1</v>
      </c>
      <c r="C68" s="62" t="s">
        <v>146</v>
      </c>
      <c r="D68" s="62"/>
      <c r="E68" s="63" t="s">
        <v>282</v>
      </c>
      <c r="F68" s="44" t="s">
        <v>277</v>
      </c>
      <c r="G68" s="6">
        <v>7.06</v>
      </c>
      <c r="H68" s="6">
        <v>1</v>
      </c>
      <c r="I68" s="6">
        <v>9.8000000000000007</v>
      </c>
      <c r="J68" s="23"/>
      <c r="K68" s="37">
        <v>81</v>
      </c>
      <c r="L68" s="3">
        <v>246</v>
      </c>
      <c r="M68" s="73">
        <v>1</v>
      </c>
      <c r="N68" s="22">
        <v>6</v>
      </c>
      <c r="P68" s="30">
        <f t="shared" si="1"/>
        <v>246</v>
      </c>
    </row>
    <row r="69" spans="1:16" ht="66" customHeight="1">
      <c r="A69" s="45">
        <v>155</v>
      </c>
      <c r="B69" s="63">
        <v>2</v>
      </c>
      <c r="C69" s="62" t="s">
        <v>147</v>
      </c>
      <c r="D69" s="62"/>
      <c r="E69" s="63" t="s">
        <v>283</v>
      </c>
      <c r="F69" s="44" t="s">
        <v>278</v>
      </c>
      <c r="G69" s="6">
        <v>9.76</v>
      </c>
      <c r="H69" s="6">
        <v>1.17</v>
      </c>
      <c r="I69" s="6">
        <v>12</v>
      </c>
      <c r="J69" s="23"/>
      <c r="K69" s="37">
        <v>96</v>
      </c>
      <c r="L69" s="3">
        <v>284</v>
      </c>
      <c r="M69" s="73">
        <v>1</v>
      </c>
      <c r="N69" s="22">
        <v>6</v>
      </c>
      <c r="P69" s="30">
        <f t="shared" si="1"/>
        <v>284</v>
      </c>
    </row>
    <row r="70" spans="1:16" ht="66" customHeight="1">
      <c r="A70" s="45">
        <v>155</v>
      </c>
      <c r="B70" s="63">
        <v>3</v>
      </c>
      <c r="C70" s="62" t="s">
        <v>148</v>
      </c>
      <c r="D70" s="62"/>
      <c r="E70" s="63" t="s">
        <v>284</v>
      </c>
      <c r="F70" s="44" t="s">
        <v>278</v>
      </c>
      <c r="G70" s="6">
        <v>8.6999999999999993</v>
      </c>
      <c r="H70" s="6">
        <v>1.1599999999999999</v>
      </c>
      <c r="I70" s="6">
        <v>10.6</v>
      </c>
      <c r="J70" s="23"/>
      <c r="K70" s="37">
        <v>98</v>
      </c>
      <c r="L70" s="3">
        <v>279</v>
      </c>
      <c r="M70" s="73">
        <v>1</v>
      </c>
      <c r="N70" s="22">
        <v>6</v>
      </c>
      <c r="P70" s="30">
        <f t="shared" si="1"/>
        <v>279</v>
      </c>
    </row>
    <row r="71" spans="1:16" ht="66" customHeight="1">
      <c r="A71" s="45">
        <v>155</v>
      </c>
      <c r="B71" s="63">
        <v>4</v>
      </c>
      <c r="C71" s="62" t="s">
        <v>150</v>
      </c>
      <c r="D71" s="62"/>
      <c r="E71" s="63" t="s">
        <v>285</v>
      </c>
      <c r="F71" s="35" t="s">
        <v>279</v>
      </c>
      <c r="G71" s="6">
        <v>7.26</v>
      </c>
      <c r="H71" s="6">
        <v>1.07</v>
      </c>
      <c r="I71" s="6">
        <v>9.8000000000000007</v>
      </c>
      <c r="J71" s="23"/>
      <c r="K71" s="37">
        <v>75</v>
      </c>
      <c r="L71" s="3">
        <v>259</v>
      </c>
      <c r="M71" s="73">
        <v>1</v>
      </c>
      <c r="N71" s="22">
        <v>6</v>
      </c>
      <c r="P71" s="30">
        <f t="shared" si="1"/>
        <v>259</v>
      </c>
    </row>
    <row r="72" spans="1:16" ht="66" customHeight="1">
      <c r="A72" s="45">
        <v>155</v>
      </c>
      <c r="B72" s="63">
        <v>5</v>
      </c>
      <c r="C72" s="62" t="s">
        <v>151</v>
      </c>
      <c r="D72" s="62"/>
      <c r="E72" s="63" t="s">
        <v>284</v>
      </c>
      <c r="F72" s="35" t="s">
        <v>278</v>
      </c>
      <c r="G72" s="6">
        <v>7.88</v>
      </c>
      <c r="H72" s="6">
        <v>1.1099999999999999</v>
      </c>
      <c r="I72" s="6">
        <v>10.4</v>
      </c>
      <c r="J72" s="23"/>
      <c r="K72" s="37">
        <v>86</v>
      </c>
      <c r="L72" s="3">
        <v>268</v>
      </c>
      <c r="M72" s="73">
        <v>1</v>
      </c>
      <c r="N72" s="22">
        <v>6</v>
      </c>
      <c r="P72" s="30">
        <f t="shared" si="1"/>
        <v>268</v>
      </c>
    </row>
    <row r="73" spans="1:16" ht="66" customHeight="1">
      <c r="A73" s="45">
        <v>155</v>
      </c>
      <c r="B73" s="63">
        <v>6</v>
      </c>
      <c r="C73" s="62" t="s">
        <v>152</v>
      </c>
      <c r="D73" s="62"/>
      <c r="E73" s="63" t="s">
        <v>286</v>
      </c>
      <c r="F73" s="35" t="s">
        <v>277</v>
      </c>
      <c r="G73" s="6">
        <v>7.09</v>
      </c>
      <c r="H73" s="6">
        <v>0.91</v>
      </c>
      <c r="I73" s="6">
        <v>9.8000000000000007</v>
      </c>
      <c r="J73" s="23"/>
      <c r="K73" s="37">
        <v>78</v>
      </c>
      <c r="L73" s="3">
        <v>229</v>
      </c>
      <c r="M73" s="73">
        <v>1</v>
      </c>
      <c r="N73" s="22">
        <v>6</v>
      </c>
      <c r="P73" s="30">
        <f t="shared" si="1"/>
        <v>229</v>
      </c>
    </row>
    <row r="74" spans="1:16" ht="66" customHeight="1">
      <c r="A74" s="45">
        <v>155</v>
      </c>
      <c r="B74" s="63">
        <v>7</v>
      </c>
      <c r="C74" s="62" t="s">
        <v>153</v>
      </c>
      <c r="D74" s="62"/>
      <c r="E74" s="63" t="s">
        <v>284</v>
      </c>
      <c r="F74" s="35" t="s">
        <v>278</v>
      </c>
      <c r="G74" s="6">
        <v>7.87</v>
      </c>
      <c r="H74" s="6">
        <v>1.1499999999999999</v>
      </c>
      <c r="I74" s="6">
        <v>10.8</v>
      </c>
      <c r="J74" s="23"/>
      <c r="K74" s="37">
        <v>93</v>
      </c>
      <c r="L74" s="3">
        <v>274</v>
      </c>
      <c r="M74" s="73">
        <v>1</v>
      </c>
      <c r="N74" s="22">
        <v>6</v>
      </c>
      <c r="P74" s="30">
        <f t="shared" si="1"/>
        <v>274</v>
      </c>
    </row>
    <row r="75" spans="1:16" ht="66" customHeight="1">
      <c r="A75" s="45">
        <v>155</v>
      </c>
      <c r="B75" s="63">
        <v>8</v>
      </c>
      <c r="C75" s="62" t="s">
        <v>154</v>
      </c>
      <c r="D75" s="62"/>
      <c r="E75" s="63" t="s">
        <v>282</v>
      </c>
      <c r="F75" s="35" t="s">
        <v>277</v>
      </c>
      <c r="G75" s="6">
        <v>6.58</v>
      </c>
      <c r="H75" s="6">
        <v>1</v>
      </c>
      <c r="I75" s="6">
        <v>10.199999999999999</v>
      </c>
      <c r="J75" s="23"/>
      <c r="K75" s="37">
        <v>80</v>
      </c>
      <c r="L75" s="3">
        <v>244</v>
      </c>
      <c r="M75" s="73">
        <v>1</v>
      </c>
      <c r="N75" s="22">
        <v>6</v>
      </c>
      <c r="P75" s="30">
        <f t="shared" ref="P75:P138" si="2">ROUND(L75,0)</f>
        <v>244</v>
      </c>
    </row>
    <row r="76" spans="1:16" ht="66" customHeight="1">
      <c r="A76" s="45">
        <v>155</v>
      </c>
      <c r="B76" s="63">
        <v>9</v>
      </c>
      <c r="C76" s="62" t="s">
        <v>155</v>
      </c>
      <c r="D76" s="62"/>
      <c r="E76" s="63" t="s">
        <v>287</v>
      </c>
      <c r="F76" s="35" t="s">
        <v>279</v>
      </c>
      <c r="G76" s="6">
        <v>6.99</v>
      </c>
      <c r="H76" s="6">
        <v>1.0899999999999999</v>
      </c>
      <c r="I76" s="6">
        <v>9.5</v>
      </c>
      <c r="J76" s="23"/>
      <c r="K76" s="37">
        <v>79</v>
      </c>
      <c r="L76" s="3">
        <v>261</v>
      </c>
      <c r="M76" s="73">
        <v>1</v>
      </c>
      <c r="N76" s="22">
        <v>6</v>
      </c>
      <c r="P76" s="30">
        <f t="shared" si="2"/>
        <v>261</v>
      </c>
    </row>
    <row r="77" spans="1:16" ht="66" customHeight="1">
      <c r="A77" s="45">
        <v>155</v>
      </c>
      <c r="B77" s="63">
        <v>10</v>
      </c>
      <c r="C77" s="62" t="s">
        <v>156</v>
      </c>
      <c r="D77" s="62"/>
      <c r="E77" s="63" t="s">
        <v>286</v>
      </c>
      <c r="F77" s="35" t="s">
        <v>277</v>
      </c>
      <c r="G77" s="6">
        <v>7.96</v>
      </c>
      <c r="H77" s="6">
        <v>1.02</v>
      </c>
      <c r="I77" s="6">
        <v>10.199999999999999</v>
      </c>
      <c r="J77" s="23"/>
      <c r="K77" s="37">
        <v>85</v>
      </c>
      <c r="L77" s="3">
        <v>252</v>
      </c>
      <c r="M77" s="73">
        <v>1</v>
      </c>
      <c r="N77" s="22">
        <v>6</v>
      </c>
      <c r="P77" s="30">
        <f t="shared" si="2"/>
        <v>252</v>
      </c>
    </row>
    <row r="78" spans="1:16" ht="66" customHeight="1">
      <c r="A78" s="45">
        <v>155</v>
      </c>
      <c r="B78" s="63">
        <v>11</v>
      </c>
      <c r="C78" s="62" t="s">
        <v>157</v>
      </c>
      <c r="D78" s="62"/>
      <c r="E78" s="63" t="s">
        <v>285</v>
      </c>
      <c r="F78" s="35" t="s">
        <v>279</v>
      </c>
      <c r="G78" s="6">
        <v>8.4</v>
      </c>
      <c r="H78" s="6">
        <v>1.1400000000000001</v>
      </c>
      <c r="I78" s="6">
        <v>10.7</v>
      </c>
      <c r="J78" s="23"/>
      <c r="K78" s="37">
        <v>91</v>
      </c>
      <c r="L78" s="3">
        <v>274</v>
      </c>
      <c r="M78" s="73">
        <v>1</v>
      </c>
      <c r="N78" s="22">
        <v>6</v>
      </c>
      <c r="P78" s="30">
        <f t="shared" si="2"/>
        <v>274</v>
      </c>
    </row>
    <row r="79" spans="1:16" ht="66" customHeight="1">
      <c r="A79" s="45">
        <v>155</v>
      </c>
      <c r="B79" s="63">
        <v>12</v>
      </c>
      <c r="C79" s="62" t="s">
        <v>158</v>
      </c>
      <c r="D79" s="62"/>
      <c r="E79" s="63" t="s">
        <v>286</v>
      </c>
      <c r="F79" s="35" t="s">
        <v>277</v>
      </c>
      <c r="G79" s="6">
        <v>8.02</v>
      </c>
      <c r="H79" s="6">
        <v>1.0900000000000001</v>
      </c>
      <c r="I79" s="6">
        <v>10.5</v>
      </c>
      <c r="J79" s="23"/>
      <c r="K79" s="37">
        <v>100</v>
      </c>
      <c r="L79" s="3">
        <v>263</v>
      </c>
      <c r="M79" s="73">
        <v>1</v>
      </c>
      <c r="N79" s="22">
        <v>6</v>
      </c>
      <c r="P79" s="30">
        <f t="shared" si="2"/>
        <v>263</v>
      </c>
    </row>
    <row r="80" spans="1:16" ht="66" customHeight="1">
      <c r="A80" s="45">
        <v>155</v>
      </c>
      <c r="B80" s="63">
        <v>13</v>
      </c>
      <c r="C80" s="62" t="s">
        <v>159</v>
      </c>
      <c r="D80" s="62"/>
      <c r="E80" s="63" t="s">
        <v>288</v>
      </c>
      <c r="F80" s="35" t="s">
        <v>279</v>
      </c>
      <c r="G80" s="6">
        <v>9.2799999999999994</v>
      </c>
      <c r="H80" s="6">
        <v>0.28999999999999998</v>
      </c>
      <c r="I80" s="6">
        <v>20.73</v>
      </c>
      <c r="J80" s="23"/>
      <c r="K80" s="37">
        <v>51</v>
      </c>
      <c r="L80" s="3">
        <v>145</v>
      </c>
      <c r="M80" s="73">
        <v>1</v>
      </c>
      <c r="N80" s="22">
        <v>6</v>
      </c>
      <c r="P80" s="30">
        <f t="shared" si="2"/>
        <v>145</v>
      </c>
    </row>
    <row r="81" spans="1:16" ht="66" customHeight="1">
      <c r="A81" s="45">
        <v>155</v>
      </c>
      <c r="B81" s="63">
        <v>14</v>
      </c>
      <c r="C81" s="62" t="s">
        <v>160</v>
      </c>
      <c r="D81" s="62"/>
      <c r="E81" s="63" t="s">
        <v>289</v>
      </c>
      <c r="F81" s="35" t="s">
        <v>277</v>
      </c>
      <c r="G81" s="6">
        <v>11.4</v>
      </c>
      <c r="H81" s="6">
        <v>0.31</v>
      </c>
      <c r="I81" s="6">
        <v>28.1</v>
      </c>
      <c r="J81" s="23"/>
      <c r="K81" s="37">
        <v>58</v>
      </c>
      <c r="L81" s="3">
        <v>162</v>
      </c>
      <c r="M81" s="73">
        <v>1</v>
      </c>
      <c r="N81" s="22">
        <v>6</v>
      </c>
      <c r="P81" s="30">
        <f t="shared" si="2"/>
        <v>162</v>
      </c>
    </row>
    <row r="82" spans="1:16" ht="66" customHeight="1">
      <c r="A82" s="45">
        <v>155</v>
      </c>
      <c r="B82" s="63">
        <v>16</v>
      </c>
      <c r="C82" s="62" t="s">
        <v>161</v>
      </c>
      <c r="D82" s="62"/>
      <c r="E82" s="63" t="s">
        <v>286</v>
      </c>
      <c r="F82" s="35" t="s">
        <v>277</v>
      </c>
      <c r="G82" s="6">
        <v>7.15</v>
      </c>
      <c r="H82" s="6">
        <v>0.86</v>
      </c>
      <c r="I82" s="6">
        <v>9.5500000000000007</v>
      </c>
      <c r="J82" s="23"/>
      <c r="K82" s="37">
        <v>43</v>
      </c>
      <c r="L82" s="3">
        <v>240</v>
      </c>
      <c r="M82" s="73">
        <v>1</v>
      </c>
      <c r="N82" s="22">
        <v>6</v>
      </c>
      <c r="P82" s="30">
        <f t="shared" si="2"/>
        <v>240</v>
      </c>
    </row>
    <row r="83" spans="1:16" ht="66" customHeight="1">
      <c r="A83" s="45">
        <v>155</v>
      </c>
      <c r="B83" s="63">
        <v>17</v>
      </c>
      <c r="C83" s="62" t="s">
        <v>162</v>
      </c>
      <c r="D83" s="62"/>
      <c r="E83" s="63" t="s">
        <v>286</v>
      </c>
      <c r="F83" s="35" t="s">
        <v>277</v>
      </c>
      <c r="G83" s="6">
        <v>7.02</v>
      </c>
      <c r="H83" s="6">
        <v>0.83</v>
      </c>
      <c r="I83" s="6">
        <v>9.5299999999999994</v>
      </c>
      <c r="J83" s="23"/>
      <c r="K83" s="37">
        <v>40</v>
      </c>
      <c r="L83" s="3">
        <v>233</v>
      </c>
      <c r="M83" s="73">
        <v>1</v>
      </c>
      <c r="N83" s="22">
        <v>6</v>
      </c>
      <c r="P83" s="30">
        <f t="shared" si="2"/>
        <v>233</v>
      </c>
    </row>
    <row r="84" spans="1:16" ht="66" customHeight="1">
      <c r="A84" s="45">
        <v>155</v>
      </c>
      <c r="B84" s="5">
        <v>18</v>
      </c>
      <c r="C84" s="62" t="s">
        <v>163</v>
      </c>
      <c r="D84" s="62"/>
      <c r="E84" s="63" t="s">
        <v>286</v>
      </c>
      <c r="F84" s="35" t="s">
        <v>277</v>
      </c>
      <c r="G84" s="23">
        <v>7.32</v>
      </c>
      <c r="H84" s="6">
        <v>0.78</v>
      </c>
      <c r="I84" s="6">
        <v>10.9</v>
      </c>
      <c r="J84" s="23"/>
      <c r="K84" s="37">
        <v>38</v>
      </c>
      <c r="L84" s="3">
        <v>226</v>
      </c>
      <c r="M84" s="74">
        <v>1</v>
      </c>
      <c r="N84" s="22">
        <v>6</v>
      </c>
      <c r="P84" s="30">
        <f t="shared" si="2"/>
        <v>226</v>
      </c>
    </row>
    <row r="85" spans="1:16" ht="66" customHeight="1">
      <c r="A85" s="45">
        <v>155</v>
      </c>
      <c r="B85" s="63">
        <v>19</v>
      </c>
      <c r="C85" s="62" t="s">
        <v>164</v>
      </c>
      <c r="D85" s="62"/>
      <c r="E85" s="63" t="s">
        <v>290</v>
      </c>
      <c r="F85" s="35" t="s">
        <v>280</v>
      </c>
      <c r="G85" s="6">
        <v>6.29</v>
      </c>
      <c r="H85" s="6">
        <v>0.9</v>
      </c>
      <c r="I85" s="6">
        <v>4.07</v>
      </c>
      <c r="J85" s="23"/>
      <c r="K85" s="37">
        <v>44</v>
      </c>
      <c r="L85" s="3">
        <v>271</v>
      </c>
      <c r="M85" s="73">
        <v>1</v>
      </c>
      <c r="N85" s="22">
        <v>6</v>
      </c>
      <c r="P85" s="30">
        <f t="shared" si="2"/>
        <v>271</v>
      </c>
    </row>
    <row r="86" spans="1:16" ht="66" customHeight="1">
      <c r="A86" s="45">
        <v>155</v>
      </c>
      <c r="B86" s="63">
        <v>20</v>
      </c>
      <c r="C86" s="62" t="s">
        <v>165</v>
      </c>
      <c r="D86" s="62"/>
      <c r="E86" s="63" t="s">
        <v>287</v>
      </c>
      <c r="F86" s="35" t="s">
        <v>279</v>
      </c>
      <c r="G86" s="6">
        <v>7.032</v>
      </c>
      <c r="H86" s="6">
        <v>0.85</v>
      </c>
      <c r="I86" s="6">
        <v>10.52</v>
      </c>
      <c r="J86" s="23"/>
      <c r="K86" s="37">
        <v>42</v>
      </c>
      <c r="L86" s="3">
        <v>238</v>
      </c>
      <c r="M86" s="73">
        <v>1</v>
      </c>
      <c r="N86" s="22">
        <v>6</v>
      </c>
      <c r="P86" s="30">
        <f t="shared" si="2"/>
        <v>238</v>
      </c>
    </row>
    <row r="87" spans="1:16" ht="66" customHeight="1">
      <c r="A87" s="45">
        <v>155</v>
      </c>
      <c r="B87" s="63">
        <v>21</v>
      </c>
      <c r="C87" s="62" t="s">
        <v>166</v>
      </c>
      <c r="D87" s="62"/>
      <c r="E87" s="63" t="s">
        <v>290</v>
      </c>
      <c r="F87" s="35" t="s">
        <v>279</v>
      </c>
      <c r="G87" s="6">
        <v>5.62</v>
      </c>
      <c r="H87" s="6">
        <v>0.9</v>
      </c>
      <c r="I87" s="6">
        <v>3.05</v>
      </c>
      <c r="J87" s="23"/>
      <c r="K87" s="37">
        <v>44</v>
      </c>
      <c r="L87" s="3">
        <v>250</v>
      </c>
      <c r="M87" s="73">
        <v>1</v>
      </c>
      <c r="N87" s="22">
        <v>6</v>
      </c>
      <c r="P87" s="30">
        <f t="shared" si="2"/>
        <v>250</v>
      </c>
    </row>
    <row r="88" spans="1:16" ht="66" customHeight="1">
      <c r="A88" s="45">
        <v>155</v>
      </c>
      <c r="B88" s="63">
        <v>22</v>
      </c>
      <c r="C88" s="62" t="s">
        <v>167</v>
      </c>
      <c r="D88" s="62"/>
      <c r="E88" s="63" t="s">
        <v>287</v>
      </c>
      <c r="F88" s="35" t="s">
        <v>279</v>
      </c>
      <c r="G88" s="6">
        <v>6.09</v>
      </c>
      <c r="H88" s="6">
        <v>0.74</v>
      </c>
      <c r="I88" s="6">
        <v>6.75</v>
      </c>
      <c r="J88" s="23"/>
      <c r="K88" s="37">
        <v>41</v>
      </c>
      <c r="L88" s="3">
        <v>213</v>
      </c>
      <c r="M88" s="73">
        <v>1</v>
      </c>
      <c r="N88" s="22">
        <v>6</v>
      </c>
      <c r="P88" s="30">
        <f t="shared" si="2"/>
        <v>213</v>
      </c>
    </row>
    <row r="89" spans="1:16" ht="66" customHeight="1">
      <c r="A89" s="45">
        <v>155</v>
      </c>
      <c r="B89" s="63">
        <v>23</v>
      </c>
      <c r="C89" s="62" t="s">
        <v>168</v>
      </c>
      <c r="D89" s="62"/>
      <c r="E89" s="63" t="s">
        <v>291</v>
      </c>
      <c r="F89" s="35" t="s">
        <v>280</v>
      </c>
      <c r="G89" s="6">
        <v>7.01</v>
      </c>
      <c r="H89" s="6">
        <v>0.88</v>
      </c>
      <c r="I89" s="6">
        <v>8.4499999999999993</v>
      </c>
      <c r="J89" s="23"/>
      <c r="K89" s="37">
        <v>45</v>
      </c>
      <c r="L89" s="3">
        <v>243</v>
      </c>
      <c r="M89" s="73">
        <v>1</v>
      </c>
      <c r="N89" s="22">
        <v>6</v>
      </c>
      <c r="P89" s="30">
        <f t="shared" si="2"/>
        <v>243</v>
      </c>
    </row>
    <row r="90" spans="1:16" ht="66" customHeight="1">
      <c r="A90" s="45">
        <v>155</v>
      </c>
      <c r="B90" s="63">
        <v>24</v>
      </c>
      <c r="C90" s="62" t="s">
        <v>169</v>
      </c>
      <c r="D90" s="62"/>
      <c r="E90" s="63" t="s">
        <v>292</v>
      </c>
      <c r="F90" s="35" t="s">
        <v>279</v>
      </c>
      <c r="G90" s="6">
        <v>6.66</v>
      </c>
      <c r="H90" s="6">
        <v>0.88</v>
      </c>
      <c r="I90" s="6">
        <v>3.01</v>
      </c>
      <c r="J90" s="23"/>
      <c r="K90" s="37">
        <v>44</v>
      </c>
      <c r="L90" s="3">
        <v>219</v>
      </c>
      <c r="M90" s="73">
        <v>1</v>
      </c>
      <c r="N90" s="22">
        <v>6</v>
      </c>
      <c r="P90" s="30">
        <f t="shared" si="2"/>
        <v>219</v>
      </c>
    </row>
    <row r="91" spans="1:16" ht="66" customHeight="1">
      <c r="A91" s="45">
        <v>155</v>
      </c>
      <c r="B91" s="63">
        <v>25</v>
      </c>
      <c r="C91" s="62" t="s">
        <v>170</v>
      </c>
      <c r="D91" s="64"/>
      <c r="E91" s="5" t="s">
        <v>171</v>
      </c>
      <c r="F91" s="35" t="s">
        <v>279</v>
      </c>
      <c r="G91" s="23">
        <v>5.67</v>
      </c>
      <c r="H91" s="6">
        <v>1.22</v>
      </c>
      <c r="I91" s="6">
        <v>3.08</v>
      </c>
      <c r="J91" s="23"/>
      <c r="K91" s="37">
        <v>52</v>
      </c>
      <c r="L91" s="3">
        <v>337</v>
      </c>
      <c r="M91" s="75">
        <v>1</v>
      </c>
      <c r="N91" s="22">
        <v>6</v>
      </c>
      <c r="P91" s="30">
        <f t="shared" si="2"/>
        <v>337</v>
      </c>
    </row>
    <row r="92" spans="1:16" ht="66" customHeight="1">
      <c r="A92" s="45">
        <v>155</v>
      </c>
      <c r="B92" s="63">
        <v>26</v>
      </c>
      <c r="C92" s="62" t="s">
        <v>172</v>
      </c>
      <c r="D92" s="71"/>
      <c r="E92" s="5" t="s">
        <v>293</v>
      </c>
      <c r="F92" s="35" t="s">
        <v>281</v>
      </c>
      <c r="G92" s="6">
        <v>7.34</v>
      </c>
      <c r="H92" s="6">
        <v>1.0900000000000001</v>
      </c>
      <c r="I92" s="72">
        <v>11.5</v>
      </c>
      <c r="J92" s="6"/>
      <c r="K92" s="37">
        <v>42</v>
      </c>
      <c r="L92" s="3">
        <v>341</v>
      </c>
      <c r="M92" s="75">
        <v>1</v>
      </c>
      <c r="N92" s="22">
        <v>6</v>
      </c>
      <c r="P92" s="30">
        <f t="shared" si="2"/>
        <v>341</v>
      </c>
    </row>
    <row r="93" spans="1:16" ht="66" customHeight="1">
      <c r="A93" s="45">
        <v>155</v>
      </c>
      <c r="B93" s="63">
        <v>27</v>
      </c>
      <c r="C93" s="62" t="s">
        <v>173</v>
      </c>
      <c r="D93" s="64"/>
      <c r="E93" s="5" t="s">
        <v>174</v>
      </c>
      <c r="F93" s="35" t="s">
        <v>279</v>
      </c>
      <c r="G93" s="6">
        <v>5.5</v>
      </c>
      <c r="H93" s="6">
        <v>0.70000000000000007</v>
      </c>
      <c r="I93" s="6">
        <v>2.3199999999999998</v>
      </c>
      <c r="J93" s="23"/>
      <c r="K93" s="37">
        <v>34</v>
      </c>
      <c r="L93" s="3">
        <v>237</v>
      </c>
      <c r="M93" s="75">
        <v>1</v>
      </c>
      <c r="N93" s="22">
        <v>6</v>
      </c>
      <c r="P93" s="30">
        <f t="shared" si="2"/>
        <v>237</v>
      </c>
    </row>
    <row r="94" spans="1:16" ht="66" customHeight="1">
      <c r="A94" s="45">
        <v>155</v>
      </c>
      <c r="B94" s="63">
        <v>29</v>
      </c>
      <c r="C94" s="62" t="s">
        <v>175</v>
      </c>
      <c r="D94" s="62"/>
      <c r="E94" s="63" t="s">
        <v>149</v>
      </c>
      <c r="F94" s="35" t="s">
        <v>279</v>
      </c>
      <c r="G94" s="6">
        <v>5.7649999999999997</v>
      </c>
      <c r="H94" s="6">
        <v>0.88</v>
      </c>
      <c r="I94" s="6">
        <v>3.5</v>
      </c>
      <c r="J94" s="23"/>
      <c r="K94" s="37">
        <v>44</v>
      </c>
      <c r="L94" s="3">
        <v>195</v>
      </c>
      <c r="M94" s="73">
        <v>2</v>
      </c>
      <c r="N94" s="22">
        <v>6</v>
      </c>
      <c r="P94" s="30">
        <f t="shared" si="2"/>
        <v>195</v>
      </c>
    </row>
    <row r="95" spans="1:16" ht="66" customHeight="1">
      <c r="A95" s="45">
        <v>155</v>
      </c>
      <c r="B95" s="39">
        <v>1</v>
      </c>
      <c r="C95" s="61" t="s">
        <v>176</v>
      </c>
      <c r="D95" s="62"/>
      <c r="E95" s="63" t="s">
        <v>177</v>
      </c>
      <c r="F95" s="35"/>
      <c r="G95" s="6">
        <v>14.62</v>
      </c>
      <c r="H95" s="6">
        <v>1.17</v>
      </c>
      <c r="I95" s="6">
        <v>41.5</v>
      </c>
      <c r="J95" s="23"/>
      <c r="K95" s="37">
        <v>116</v>
      </c>
      <c r="L95" s="3">
        <v>512</v>
      </c>
      <c r="M95" s="7">
        <v>1</v>
      </c>
      <c r="N95" s="22">
        <v>8</v>
      </c>
      <c r="P95" s="30">
        <f t="shared" si="2"/>
        <v>512</v>
      </c>
    </row>
    <row r="96" spans="1:16" ht="66" customHeight="1">
      <c r="A96" s="45">
        <v>155</v>
      </c>
      <c r="B96" s="39">
        <v>3</v>
      </c>
      <c r="C96" s="61" t="s">
        <v>178</v>
      </c>
      <c r="D96" s="62"/>
      <c r="E96" s="63" t="s">
        <v>179</v>
      </c>
      <c r="F96" s="35"/>
      <c r="G96" s="6">
        <v>24.08</v>
      </c>
      <c r="H96" s="6">
        <v>0.45</v>
      </c>
      <c r="I96" s="6">
        <v>95.43</v>
      </c>
      <c r="J96" s="23"/>
      <c r="K96" s="37">
        <v>102</v>
      </c>
      <c r="L96" s="3">
        <v>302</v>
      </c>
      <c r="M96" s="7">
        <v>1</v>
      </c>
      <c r="N96" s="22">
        <v>8</v>
      </c>
      <c r="P96" s="30">
        <f t="shared" si="2"/>
        <v>302</v>
      </c>
    </row>
    <row r="97" spans="1:16" ht="66" customHeight="1">
      <c r="A97" s="45">
        <v>155</v>
      </c>
      <c r="B97" s="39">
        <v>5</v>
      </c>
      <c r="C97" s="61" t="s">
        <v>180</v>
      </c>
      <c r="D97" s="62"/>
      <c r="E97" s="63" t="s">
        <v>181</v>
      </c>
      <c r="F97" s="35"/>
      <c r="G97" s="6">
        <v>10.36</v>
      </c>
      <c r="H97" s="6">
        <v>0.65</v>
      </c>
      <c r="I97" s="6">
        <v>28.02</v>
      </c>
      <c r="J97" s="23"/>
      <c r="K97" s="37">
        <v>90</v>
      </c>
      <c r="L97" s="3">
        <v>333</v>
      </c>
      <c r="M97" s="7">
        <v>1</v>
      </c>
      <c r="N97" s="22">
        <v>8</v>
      </c>
      <c r="P97" s="30">
        <f t="shared" si="2"/>
        <v>333</v>
      </c>
    </row>
    <row r="98" spans="1:16" ht="66" customHeight="1">
      <c r="A98" s="45">
        <v>155</v>
      </c>
      <c r="B98" s="39">
        <v>6</v>
      </c>
      <c r="C98" s="61" t="s">
        <v>182</v>
      </c>
      <c r="D98" s="62"/>
      <c r="E98" s="63" t="s">
        <v>183</v>
      </c>
      <c r="F98" s="35"/>
      <c r="G98" s="6">
        <v>13.53</v>
      </c>
      <c r="H98" s="6">
        <v>0.4</v>
      </c>
      <c r="I98" s="6">
        <v>50.37</v>
      </c>
      <c r="J98" s="23"/>
      <c r="K98" s="37">
        <v>86</v>
      </c>
      <c r="L98" s="3">
        <v>221</v>
      </c>
      <c r="M98" s="7">
        <v>1</v>
      </c>
      <c r="N98" s="22">
        <v>8</v>
      </c>
      <c r="P98" s="30">
        <f t="shared" si="2"/>
        <v>221</v>
      </c>
    </row>
    <row r="99" spans="1:16" ht="66" customHeight="1">
      <c r="A99" s="45">
        <v>155</v>
      </c>
      <c r="B99" s="39">
        <v>9</v>
      </c>
      <c r="C99" s="61" t="s">
        <v>184</v>
      </c>
      <c r="D99" s="62"/>
      <c r="E99" s="63" t="s">
        <v>185</v>
      </c>
      <c r="F99" s="35"/>
      <c r="G99" s="6">
        <v>11.37</v>
      </c>
      <c r="H99" s="6">
        <v>0.41</v>
      </c>
      <c r="I99" s="6">
        <v>36.870000000000005</v>
      </c>
      <c r="J99" s="23"/>
      <c r="K99" s="37">
        <v>90</v>
      </c>
      <c r="L99" s="3">
        <v>262</v>
      </c>
      <c r="M99" s="7">
        <v>1</v>
      </c>
      <c r="N99" s="22">
        <v>8</v>
      </c>
      <c r="P99" s="30">
        <f t="shared" si="2"/>
        <v>262</v>
      </c>
    </row>
    <row r="100" spans="1:16" ht="66" customHeight="1">
      <c r="A100" s="45">
        <v>155</v>
      </c>
      <c r="B100" s="39">
        <v>10</v>
      </c>
      <c r="C100" s="61" t="s">
        <v>186</v>
      </c>
      <c r="D100" s="62"/>
      <c r="E100" s="63" t="s">
        <v>187</v>
      </c>
      <c r="F100" s="35"/>
      <c r="G100" s="6">
        <v>17.79</v>
      </c>
      <c r="H100" s="6">
        <v>0.52</v>
      </c>
      <c r="I100" s="6">
        <v>54.5</v>
      </c>
      <c r="J100" s="23"/>
      <c r="K100" s="37">
        <v>106</v>
      </c>
      <c r="L100" s="3">
        <v>315</v>
      </c>
      <c r="M100" s="7">
        <v>1</v>
      </c>
      <c r="N100" s="22">
        <v>8</v>
      </c>
      <c r="P100" s="30">
        <f t="shared" si="2"/>
        <v>315</v>
      </c>
    </row>
    <row r="101" spans="1:16" ht="66" customHeight="1">
      <c r="A101" s="45">
        <v>155</v>
      </c>
      <c r="B101" s="39">
        <v>12</v>
      </c>
      <c r="C101" s="61" t="s">
        <v>188</v>
      </c>
      <c r="D101" s="62"/>
      <c r="E101" s="63" t="s">
        <v>189</v>
      </c>
      <c r="F101" s="35"/>
      <c r="G101" s="6">
        <v>12.9</v>
      </c>
      <c r="H101" s="6">
        <v>0.55000000000000004</v>
      </c>
      <c r="I101" s="6">
        <v>44.75</v>
      </c>
      <c r="J101" s="23"/>
      <c r="K101" s="37">
        <v>123</v>
      </c>
      <c r="L101" s="3">
        <v>389</v>
      </c>
      <c r="M101" s="7">
        <v>1</v>
      </c>
      <c r="N101" s="22">
        <v>8</v>
      </c>
      <c r="P101" s="30">
        <f t="shared" si="2"/>
        <v>389</v>
      </c>
    </row>
    <row r="102" spans="1:16" ht="66" customHeight="1">
      <c r="A102" s="45">
        <v>155</v>
      </c>
      <c r="B102" s="39">
        <v>17</v>
      </c>
      <c r="C102" s="61" t="s">
        <v>190</v>
      </c>
      <c r="D102" s="62"/>
      <c r="E102" s="63" t="s">
        <v>191</v>
      </c>
      <c r="F102" s="35"/>
      <c r="G102" s="6">
        <v>9.5299999999999994</v>
      </c>
      <c r="H102" s="6">
        <v>0.43</v>
      </c>
      <c r="I102" s="6">
        <v>31.97</v>
      </c>
      <c r="J102" s="23"/>
      <c r="K102" s="37">
        <v>94</v>
      </c>
      <c r="L102" s="3">
        <v>218</v>
      </c>
      <c r="M102" s="7">
        <v>1</v>
      </c>
      <c r="N102" s="22">
        <v>8</v>
      </c>
      <c r="P102" s="30">
        <f t="shared" si="2"/>
        <v>218</v>
      </c>
    </row>
    <row r="103" spans="1:16" ht="66" customHeight="1">
      <c r="A103" s="45">
        <v>155</v>
      </c>
      <c r="B103" s="39">
        <v>18</v>
      </c>
      <c r="C103" s="61" t="s">
        <v>192</v>
      </c>
      <c r="D103" s="62"/>
      <c r="E103" s="39" t="s">
        <v>181</v>
      </c>
      <c r="F103" s="35"/>
      <c r="G103" s="23">
        <v>8.5399999999999991</v>
      </c>
      <c r="H103" s="6">
        <v>0.68</v>
      </c>
      <c r="I103" s="6">
        <v>26.99</v>
      </c>
      <c r="J103" s="23"/>
      <c r="K103" s="37">
        <v>98</v>
      </c>
      <c r="L103" s="3">
        <v>267</v>
      </c>
      <c r="M103" s="40">
        <v>1</v>
      </c>
      <c r="N103" s="22">
        <v>8</v>
      </c>
      <c r="P103" s="30">
        <f t="shared" si="2"/>
        <v>267</v>
      </c>
    </row>
    <row r="104" spans="1:16" ht="66" customHeight="1">
      <c r="A104" s="45">
        <v>155</v>
      </c>
      <c r="B104" s="39">
        <v>19</v>
      </c>
      <c r="C104" s="61" t="s">
        <v>193</v>
      </c>
      <c r="D104" s="62"/>
      <c r="E104" s="63" t="s">
        <v>194</v>
      </c>
      <c r="F104" s="35"/>
      <c r="G104" s="6">
        <v>10.46</v>
      </c>
      <c r="H104" s="6">
        <v>0.51</v>
      </c>
      <c r="I104" s="6">
        <v>25.03</v>
      </c>
      <c r="J104" s="23"/>
      <c r="K104" s="37">
        <v>94</v>
      </c>
      <c r="L104" s="3">
        <v>232</v>
      </c>
      <c r="M104" s="7">
        <v>1</v>
      </c>
      <c r="N104" s="22">
        <v>8</v>
      </c>
      <c r="P104" s="30">
        <f t="shared" si="2"/>
        <v>232</v>
      </c>
    </row>
    <row r="105" spans="1:16" ht="66" customHeight="1">
      <c r="A105" s="45">
        <v>155</v>
      </c>
      <c r="B105" s="39">
        <v>20</v>
      </c>
      <c r="C105" s="61" t="s">
        <v>195</v>
      </c>
      <c r="D105" s="62"/>
      <c r="E105" s="63" t="s">
        <v>194</v>
      </c>
      <c r="F105" s="35"/>
      <c r="G105" s="6">
        <v>13.29</v>
      </c>
      <c r="H105" s="6">
        <v>0.57999999999999996</v>
      </c>
      <c r="I105" s="6">
        <v>36.61</v>
      </c>
      <c r="J105" s="23"/>
      <c r="K105" s="37">
        <v>105</v>
      </c>
      <c r="L105" s="3">
        <v>281</v>
      </c>
      <c r="M105" s="7">
        <v>1</v>
      </c>
      <c r="N105" s="22">
        <v>8</v>
      </c>
      <c r="P105" s="30">
        <f t="shared" si="2"/>
        <v>281</v>
      </c>
    </row>
    <row r="106" spans="1:16" ht="66" customHeight="1">
      <c r="A106" s="45">
        <v>155</v>
      </c>
      <c r="B106" s="39">
        <v>21</v>
      </c>
      <c r="C106" s="61" t="s">
        <v>196</v>
      </c>
      <c r="D106" s="62"/>
      <c r="E106" s="63" t="s">
        <v>197</v>
      </c>
      <c r="F106" s="35"/>
      <c r="G106" s="6">
        <v>17.760000000000002</v>
      </c>
      <c r="H106" s="6">
        <v>1.8199999999999998</v>
      </c>
      <c r="I106" s="6">
        <v>48.769999999999996</v>
      </c>
      <c r="J106" s="23"/>
      <c r="K106" s="37">
        <v>126</v>
      </c>
      <c r="L106" s="3">
        <v>643</v>
      </c>
      <c r="M106" s="7">
        <v>1</v>
      </c>
      <c r="N106" s="22">
        <v>8</v>
      </c>
      <c r="P106" s="30">
        <f t="shared" si="2"/>
        <v>643</v>
      </c>
    </row>
    <row r="107" spans="1:16" ht="66" customHeight="1">
      <c r="A107" s="45">
        <v>155</v>
      </c>
      <c r="B107" s="39">
        <v>22</v>
      </c>
      <c r="C107" s="61" t="s">
        <v>198</v>
      </c>
      <c r="D107" s="76"/>
      <c r="E107" s="63" t="s">
        <v>199</v>
      </c>
      <c r="F107" s="35"/>
      <c r="G107" s="6">
        <v>11.19</v>
      </c>
      <c r="H107" s="6">
        <v>0.54</v>
      </c>
      <c r="I107" s="6">
        <v>29.97</v>
      </c>
      <c r="J107" s="23"/>
      <c r="K107" s="37">
        <v>98</v>
      </c>
      <c r="L107" s="3">
        <v>223</v>
      </c>
      <c r="M107" s="7">
        <v>1</v>
      </c>
      <c r="N107" s="22">
        <v>8</v>
      </c>
      <c r="P107" s="30">
        <f t="shared" si="2"/>
        <v>223</v>
      </c>
    </row>
    <row r="108" spans="1:16" ht="66" customHeight="1">
      <c r="A108" s="45">
        <v>155</v>
      </c>
      <c r="B108" s="39">
        <v>23</v>
      </c>
      <c r="C108" s="61" t="s">
        <v>200</v>
      </c>
      <c r="D108" s="62"/>
      <c r="E108" s="63" t="s">
        <v>201</v>
      </c>
      <c r="F108" s="35"/>
      <c r="G108" s="6">
        <v>21.63</v>
      </c>
      <c r="H108" s="6">
        <v>1.51</v>
      </c>
      <c r="I108" s="6">
        <v>69.5</v>
      </c>
      <c r="J108" s="23"/>
      <c r="K108" s="37">
        <v>107</v>
      </c>
      <c r="L108" s="3">
        <v>519</v>
      </c>
      <c r="M108" s="7">
        <v>1</v>
      </c>
      <c r="N108" s="22">
        <v>8</v>
      </c>
      <c r="P108" s="30">
        <f t="shared" si="2"/>
        <v>519</v>
      </c>
    </row>
    <row r="109" spans="1:16" ht="66" customHeight="1">
      <c r="A109" s="45">
        <v>155</v>
      </c>
      <c r="B109" s="39">
        <v>24</v>
      </c>
      <c r="C109" s="61" t="s">
        <v>202</v>
      </c>
      <c r="D109" s="62"/>
      <c r="E109" s="63" t="s">
        <v>203</v>
      </c>
      <c r="F109" s="35"/>
      <c r="G109" s="6">
        <v>12.64</v>
      </c>
      <c r="H109" s="6">
        <v>1.1099999999999999</v>
      </c>
      <c r="I109" s="6">
        <v>35.14</v>
      </c>
      <c r="J109" s="23"/>
      <c r="K109" s="37">
        <v>97</v>
      </c>
      <c r="L109" s="3">
        <v>413</v>
      </c>
      <c r="M109" s="7">
        <v>1</v>
      </c>
      <c r="N109" s="22">
        <v>8</v>
      </c>
      <c r="P109" s="30">
        <f t="shared" si="2"/>
        <v>413</v>
      </c>
    </row>
    <row r="110" spans="1:16" ht="66" customHeight="1">
      <c r="A110" s="45">
        <v>155</v>
      </c>
      <c r="B110" s="39">
        <v>25</v>
      </c>
      <c r="C110" s="61" t="s">
        <v>204</v>
      </c>
      <c r="D110" s="62"/>
      <c r="E110" s="63" t="s">
        <v>205</v>
      </c>
      <c r="F110" s="35"/>
      <c r="G110" s="6">
        <v>13.92</v>
      </c>
      <c r="H110" s="6">
        <v>1.34</v>
      </c>
      <c r="I110" s="6">
        <v>41.02</v>
      </c>
      <c r="J110" s="23"/>
      <c r="K110" s="37">
        <v>95</v>
      </c>
      <c r="L110" s="3">
        <v>443</v>
      </c>
      <c r="M110" s="7">
        <v>1</v>
      </c>
      <c r="N110" s="22">
        <v>8</v>
      </c>
      <c r="P110" s="30">
        <f t="shared" si="2"/>
        <v>443</v>
      </c>
    </row>
    <row r="111" spans="1:16" ht="66" customHeight="1">
      <c r="A111" s="45">
        <v>155</v>
      </c>
      <c r="B111" s="39">
        <v>26</v>
      </c>
      <c r="C111" s="61" t="s">
        <v>206</v>
      </c>
      <c r="D111" s="62"/>
      <c r="E111" s="63" t="s">
        <v>207</v>
      </c>
      <c r="F111" s="35"/>
      <c r="G111" s="6">
        <v>16.21</v>
      </c>
      <c r="H111" s="6">
        <v>1.29</v>
      </c>
      <c r="I111" s="6">
        <v>50.55</v>
      </c>
      <c r="J111" s="23"/>
      <c r="K111" s="37">
        <v>97</v>
      </c>
      <c r="L111" s="3">
        <v>418</v>
      </c>
      <c r="M111" s="7">
        <v>1</v>
      </c>
      <c r="N111" s="22">
        <v>8</v>
      </c>
      <c r="P111" s="30">
        <f t="shared" si="2"/>
        <v>418</v>
      </c>
    </row>
    <row r="112" spans="1:16" ht="66" customHeight="1">
      <c r="A112" s="45">
        <v>155</v>
      </c>
      <c r="B112" s="77">
        <v>27</v>
      </c>
      <c r="C112" s="61" t="s">
        <v>208</v>
      </c>
      <c r="D112" s="62"/>
      <c r="E112" s="63" t="s">
        <v>209</v>
      </c>
      <c r="F112" s="35"/>
      <c r="G112" s="6">
        <v>10.029999999999999</v>
      </c>
      <c r="H112" s="6">
        <v>1.24</v>
      </c>
      <c r="I112" s="6">
        <v>24.33</v>
      </c>
      <c r="J112" s="23"/>
      <c r="K112" s="37">
        <v>89</v>
      </c>
      <c r="L112" s="3">
        <v>359</v>
      </c>
      <c r="M112" s="7">
        <v>1</v>
      </c>
      <c r="N112" s="22">
        <v>8</v>
      </c>
      <c r="P112" s="30">
        <f t="shared" si="2"/>
        <v>359</v>
      </c>
    </row>
    <row r="113" spans="1:16" ht="66" customHeight="1">
      <c r="A113" s="45">
        <v>155</v>
      </c>
      <c r="B113" s="78">
        <v>28</v>
      </c>
      <c r="C113" s="61" t="s">
        <v>210</v>
      </c>
      <c r="D113" s="64"/>
      <c r="E113" s="5" t="s">
        <v>211</v>
      </c>
      <c r="F113" s="35"/>
      <c r="G113" s="23">
        <v>6.71</v>
      </c>
      <c r="H113" s="6">
        <v>0.45</v>
      </c>
      <c r="I113" s="6">
        <v>12.23</v>
      </c>
      <c r="J113" s="23"/>
      <c r="K113" s="37">
        <v>81</v>
      </c>
      <c r="L113" s="3">
        <v>129</v>
      </c>
      <c r="M113" s="7">
        <v>1</v>
      </c>
      <c r="N113" s="22">
        <v>8</v>
      </c>
      <c r="P113" s="30">
        <f t="shared" si="2"/>
        <v>129</v>
      </c>
    </row>
    <row r="114" spans="1:16" ht="66" customHeight="1">
      <c r="A114" s="45">
        <v>155</v>
      </c>
      <c r="B114" s="77">
        <v>29</v>
      </c>
      <c r="C114" s="61" t="s">
        <v>212</v>
      </c>
      <c r="D114" s="64"/>
      <c r="E114" s="5" t="s">
        <v>213</v>
      </c>
      <c r="F114" s="35"/>
      <c r="G114" s="23">
        <v>12.04</v>
      </c>
      <c r="H114" s="6">
        <v>0.13</v>
      </c>
      <c r="I114" s="6">
        <v>39.409999999999997</v>
      </c>
      <c r="J114" s="23"/>
      <c r="K114" s="37">
        <v>22</v>
      </c>
      <c r="L114" s="3">
        <v>159</v>
      </c>
      <c r="M114" s="7">
        <v>1</v>
      </c>
      <c r="N114" s="22">
        <v>8</v>
      </c>
      <c r="P114" s="30">
        <f t="shared" si="2"/>
        <v>159</v>
      </c>
    </row>
    <row r="115" spans="1:16" ht="66" customHeight="1">
      <c r="A115" s="45">
        <v>155</v>
      </c>
      <c r="B115" s="78">
        <v>38</v>
      </c>
      <c r="C115" s="61" t="s">
        <v>214</v>
      </c>
      <c r="D115" s="62"/>
      <c r="E115" s="63" t="s">
        <v>203</v>
      </c>
      <c r="F115" s="35"/>
      <c r="G115" s="6">
        <v>9.01</v>
      </c>
      <c r="H115" s="6">
        <v>1.02</v>
      </c>
      <c r="I115" s="6">
        <v>19.139999999999997</v>
      </c>
      <c r="J115" s="23"/>
      <c r="K115" s="37">
        <v>90</v>
      </c>
      <c r="L115" s="3">
        <v>357</v>
      </c>
      <c r="M115" s="7">
        <v>1</v>
      </c>
      <c r="N115" s="22">
        <v>8</v>
      </c>
      <c r="P115" s="30">
        <f t="shared" si="2"/>
        <v>357</v>
      </c>
    </row>
    <row r="116" spans="1:16" ht="66" customHeight="1">
      <c r="A116" s="45">
        <v>155</v>
      </c>
      <c r="B116" s="77">
        <v>39</v>
      </c>
      <c r="C116" s="61" t="s">
        <v>215</v>
      </c>
      <c r="D116" s="62"/>
      <c r="E116" s="63" t="s">
        <v>216</v>
      </c>
      <c r="F116" s="35"/>
      <c r="G116" s="6">
        <v>21.02</v>
      </c>
      <c r="H116" s="6">
        <v>0.75</v>
      </c>
      <c r="I116" s="6">
        <v>61.2</v>
      </c>
      <c r="J116" s="23"/>
      <c r="K116" s="37">
        <v>138</v>
      </c>
      <c r="L116" s="3">
        <v>498</v>
      </c>
      <c r="M116" s="7">
        <v>1</v>
      </c>
      <c r="N116" s="22">
        <v>8</v>
      </c>
      <c r="P116" s="30">
        <f t="shared" si="2"/>
        <v>498</v>
      </c>
    </row>
    <row r="117" spans="1:16" ht="66" customHeight="1">
      <c r="A117" s="45">
        <v>155</v>
      </c>
      <c r="B117" s="78">
        <v>40</v>
      </c>
      <c r="C117" s="61" t="s">
        <v>217</v>
      </c>
      <c r="D117" s="62"/>
      <c r="E117" s="63" t="s">
        <v>218</v>
      </c>
      <c r="F117" s="35"/>
      <c r="G117" s="6">
        <v>11.24</v>
      </c>
      <c r="H117" s="6">
        <v>1.34</v>
      </c>
      <c r="I117" s="6">
        <v>24.400000000000002</v>
      </c>
      <c r="J117" s="23"/>
      <c r="K117" s="37">
        <v>102</v>
      </c>
      <c r="L117" s="3">
        <v>426</v>
      </c>
      <c r="M117" s="7">
        <v>1</v>
      </c>
      <c r="N117" s="22">
        <v>8</v>
      </c>
      <c r="P117" s="30">
        <f t="shared" si="2"/>
        <v>426</v>
      </c>
    </row>
    <row r="118" spans="1:16" ht="66" customHeight="1">
      <c r="A118" s="45">
        <v>155</v>
      </c>
      <c r="B118" s="77">
        <v>41</v>
      </c>
      <c r="C118" s="61" t="s">
        <v>219</v>
      </c>
      <c r="D118" s="62"/>
      <c r="E118" s="63" t="s">
        <v>220</v>
      </c>
      <c r="F118" s="35"/>
      <c r="G118" s="6">
        <v>13.89</v>
      </c>
      <c r="H118" s="6">
        <v>0.8</v>
      </c>
      <c r="I118" s="6">
        <v>57.74</v>
      </c>
      <c r="J118" s="23"/>
      <c r="K118" s="37">
        <v>199</v>
      </c>
      <c r="L118" s="3">
        <v>318</v>
      </c>
      <c r="M118" s="7">
        <v>1</v>
      </c>
      <c r="N118" s="22">
        <v>8</v>
      </c>
      <c r="P118" s="30">
        <f t="shared" si="2"/>
        <v>318</v>
      </c>
    </row>
    <row r="119" spans="1:16" ht="66" customHeight="1">
      <c r="A119" s="45">
        <v>155</v>
      </c>
      <c r="B119" s="78">
        <v>42</v>
      </c>
      <c r="C119" s="61" t="s">
        <v>221</v>
      </c>
      <c r="D119" s="62"/>
      <c r="E119" s="63" t="s">
        <v>222</v>
      </c>
      <c r="F119" s="35"/>
      <c r="G119" s="6">
        <v>13.17</v>
      </c>
      <c r="H119" s="6">
        <v>0.8</v>
      </c>
      <c r="I119" s="6">
        <v>38.36</v>
      </c>
      <c r="J119" s="23"/>
      <c r="K119" s="37">
        <v>199</v>
      </c>
      <c r="L119" s="3">
        <v>318</v>
      </c>
      <c r="M119" s="7">
        <v>1</v>
      </c>
      <c r="N119" s="22">
        <v>8</v>
      </c>
      <c r="P119" s="30">
        <f t="shared" si="2"/>
        <v>318</v>
      </c>
    </row>
    <row r="120" spans="1:16" ht="66" customHeight="1">
      <c r="A120" s="45">
        <v>155</v>
      </c>
      <c r="B120" s="77">
        <v>43</v>
      </c>
      <c r="C120" s="61" t="s">
        <v>223</v>
      </c>
      <c r="D120" s="62"/>
      <c r="E120" s="63" t="s">
        <v>224</v>
      </c>
      <c r="F120" s="35"/>
      <c r="G120" s="6">
        <v>12.98</v>
      </c>
      <c r="H120" s="6">
        <v>1.44</v>
      </c>
      <c r="I120" s="6">
        <v>30.400000000000002</v>
      </c>
      <c r="J120" s="23"/>
      <c r="K120" s="37">
        <v>345</v>
      </c>
      <c r="L120" s="3">
        <v>373</v>
      </c>
      <c r="M120" s="7">
        <v>1</v>
      </c>
      <c r="N120" s="22">
        <v>8</v>
      </c>
      <c r="P120" s="30">
        <f t="shared" si="2"/>
        <v>373</v>
      </c>
    </row>
    <row r="121" spans="1:16" ht="66" customHeight="1">
      <c r="A121" s="45">
        <v>155</v>
      </c>
      <c r="B121" s="78">
        <v>44</v>
      </c>
      <c r="C121" s="61" t="s">
        <v>225</v>
      </c>
      <c r="D121" s="62"/>
      <c r="E121" s="63" t="s">
        <v>226</v>
      </c>
      <c r="F121" s="35"/>
      <c r="G121" s="6">
        <v>13.66</v>
      </c>
      <c r="H121" s="6">
        <v>0.8</v>
      </c>
      <c r="I121" s="6">
        <v>40.57</v>
      </c>
      <c r="J121" s="23"/>
      <c r="K121" s="37">
        <v>199</v>
      </c>
      <c r="L121" s="3">
        <v>293</v>
      </c>
      <c r="M121" s="7">
        <v>1</v>
      </c>
      <c r="N121" s="22">
        <v>8</v>
      </c>
      <c r="P121" s="30">
        <f t="shared" si="2"/>
        <v>293</v>
      </c>
    </row>
    <row r="122" spans="1:16" ht="66" customHeight="1">
      <c r="A122" s="45">
        <v>155</v>
      </c>
      <c r="B122" s="77">
        <v>45</v>
      </c>
      <c r="C122" s="61" t="s">
        <v>227</v>
      </c>
      <c r="D122" s="62"/>
      <c r="E122" s="63" t="s">
        <v>228</v>
      </c>
      <c r="F122" s="35"/>
      <c r="G122" s="6">
        <v>13.9</v>
      </c>
      <c r="H122" s="6">
        <v>1.44</v>
      </c>
      <c r="I122" s="6">
        <v>36.96</v>
      </c>
      <c r="J122" s="23"/>
      <c r="K122" s="37">
        <v>345</v>
      </c>
      <c r="L122" s="3">
        <v>355</v>
      </c>
      <c r="M122" s="7">
        <v>1</v>
      </c>
      <c r="N122" s="22">
        <v>8</v>
      </c>
      <c r="P122" s="30">
        <f t="shared" si="2"/>
        <v>355</v>
      </c>
    </row>
    <row r="123" spans="1:16" ht="66" customHeight="1">
      <c r="A123" s="45">
        <v>155</v>
      </c>
      <c r="B123" s="78">
        <v>46</v>
      </c>
      <c r="C123" s="61" t="s">
        <v>229</v>
      </c>
      <c r="D123" s="62"/>
      <c r="E123" s="63" t="s">
        <v>230</v>
      </c>
      <c r="F123" s="35"/>
      <c r="G123" s="6">
        <v>19.48</v>
      </c>
      <c r="H123" s="6">
        <v>1.44</v>
      </c>
      <c r="I123" s="6">
        <v>65.599999999999994</v>
      </c>
      <c r="J123" s="23"/>
      <c r="K123" s="37">
        <v>345</v>
      </c>
      <c r="L123" s="3">
        <v>357</v>
      </c>
      <c r="M123" s="7">
        <v>1</v>
      </c>
      <c r="N123" s="22">
        <v>8</v>
      </c>
      <c r="P123" s="30">
        <f t="shared" si="2"/>
        <v>357</v>
      </c>
    </row>
    <row r="124" spans="1:16" ht="66" customHeight="1">
      <c r="A124" s="45">
        <v>155</v>
      </c>
      <c r="B124" s="77">
        <v>47</v>
      </c>
      <c r="C124" s="61" t="s">
        <v>231</v>
      </c>
      <c r="D124" s="62"/>
      <c r="E124" s="63" t="s">
        <v>232</v>
      </c>
      <c r="F124" s="35"/>
      <c r="G124" s="6">
        <v>16.97</v>
      </c>
      <c r="H124" s="6">
        <v>0.8</v>
      </c>
      <c r="I124" s="6">
        <v>41.269999999999996</v>
      </c>
      <c r="J124" s="23"/>
      <c r="K124" s="37">
        <v>199</v>
      </c>
      <c r="L124" s="3">
        <v>318</v>
      </c>
      <c r="M124" s="7">
        <v>1</v>
      </c>
      <c r="N124" s="22">
        <v>8</v>
      </c>
      <c r="P124" s="30">
        <f t="shared" si="2"/>
        <v>318</v>
      </c>
    </row>
    <row r="125" spans="1:16" ht="66" customHeight="1">
      <c r="A125" s="45">
        <v>155</v>
      </c>
      <c r="B125" s="78">
        <v>48</v>
      </c>
      <c r="C125" s="61" t="s">
        <v>233</v>
      </c>
      <c r="D125" s="62"/>
      <c r="E125" s="63" t="s">
        <v>234</v>
      </c>
      <c r="F125" s="35"/>
      <c r="G125" s="6">
        <v>15.79</v>
      </c>
      <c r="H125" s="6">
        <v>0.8</v>
      </c>
      <c r="I125" s="6">
        <v>50.81</v>
      </c>
      <c r="J125" s="23"/>
      <c r="K125" s="37">
        <v>199</v>
      </c>
      <c r="L125" s="3">
        <v>309</v>
      </c>
      <c r="M125" s="7">
        <v>1</v>
      </c>
      <c r="N125" s="22">
        <v>8</v>
      </c>
      <c r="P125" s="30">
        <f t="shared" si="2"/>
        <v>309</v>
      </c>
    </row>
    <row r="126" spans="1:16" ht="66" customHeight="1">
      <c r="A126" s="45">
        <v>155</v>
      </c>
      <c r="B126" s="77">
        <v>49</v>
      </c>
      <c r="C126" s="61" t="s">
        <v>235</v>
      </c>
      <c r="D126" s="62"/>
      <c r="E126" s="63" t="s">
        <v>236</v>
      </c>
      <c r="F126" s="35"/>
      <c r="G126" s="6">
        <v>17.809999999999999</v>
      </c>
      <c r="H126" s="6">
        <v>1.44</v>
      </c>
      <c r="I126" s="6">
        <v>66.599999999999994</v>
      </c>
      <c r="J126" s="23"/>
      <c r="K126" s="37">
        <v>345</v>
      </c>
      <c r="L126" s="3">
        <v>387</v>
      </c>
      <c r="M126" s="7">
        <v>1</v>
      </c>
      <c r="N126" s="22">
        <v>8</v>
      </c>
      <c r="P126" s="30">
        <f t="shared" si="2"/>
        <v>387</v>
      </c>
    </row>
    <row r="127" spans="1:16" ht="66" customHeight="1">
      <c r="A127" s="45">
        <v>155</v>
      </c>
      <c r="B127" s="78">
        <v>50</v>
      </c>
      <c r="C127" s="61" t="s">
        <v>237</v>
      </c>
      <c r="D127" s="64"/>
      <c r="E127" s="5" t="s">
        <v>191</v>
      </c>
      <c r="F127" s="35"/>
      <c r="G127" s="6">
        <v>13.65</v>
      </c>
      <c r="H127" s="6">
        <v>0.55000000000000004</v>
      </c>
      <c r="I127" s="6">
        <v>37</v>
      </c>
      <c r="J127" s="23"/>
      <c r="K127" s="37">
        <v>101</v>
      </c>
      <c r="L127" s="3">
        <v>219</v>
      </c>
      <c r="M127" s="7">
        <v>1</v>
      </c>
      <c r="N127" s="22">
        <v>8</v>
      </c>
      <c r="P127" s="30">
        <f t="shared" si="2"/>
        <v>219</v>
      </c>
    </row>
    <row r="128" spans="1:16" ht="66" customHeight="1">
      <c r="A128" s="45">
        <v>155</v>
      </c>
      <c r="B128" s="63">
        <v>1</v>
      </c>
      <c r="C128" s="62" t="s">
        <v>238</v>
      </c>
      <c r="D128" s="62"/>
      <c r="E128" s="63" t="s">
        <v>239</v>
      </c>
      <c r="F128" s="35"/>
      <c r="G128" s="6">
        <v>53.12</v>
      </c>
      <c r="H128" s="6">
        <v>7.35</v>
      </c>
      <c r="I128" s="6">
        <v>50.190000000000005</v>
      </c>
      <c r="J128" s="23"/>
      <c r="K128" s="37">
        <v>999</v>
      </c>
      <c r="L128" s="3">
        <v>1655</v>
      </c>
      <c r="M128" s="7">
        <v>1</v>
      </c>
      <c r="N128" s="22">
        <v>9</v>
      </c>
      <c r="P128" s="30">
        <f t="shared" si="2"/>
        <v>1655</v>
      </c>
    </row>
    <row r="129" spans="1:16" ht="66" customHeight="1">
      <c r="A129" s="45">
        <v>155</v>
      </c>
      <c r="B129" s="63">
        <v>3</v>
      </c>
      <c r="C129" s="62" t="s">
        <v>240</v>
      </c>
      <c r="D129" s="62"/>
      <c r="E129" s="63" t="s">
        <v>241</v>
      </c>
      <c r="F129" s="35"/>
      <c r="G129" s="6">
        <v>69.31</v>
      </c>
      <c r="H129" s="6">
        <v>5.0199999999999996</v>
      </c>
      <c r="I129" s="6">
        <v>145</v>
      </c>
      <c r="J129" s="23"/>
      <c r="K129" s="37">
        <v>1243</v>
      </c>
      <c r="L129" s="3">
        <v>1248</v>
      </c>
      <c r="M129" s="7">
        <v>1</v>
      </c>
      <c r="N129" s="22">
        <v>9</v>
      </c>
      <c r="P129" s="30">
        <f t="shared" si="2"/>
        <v>1248</v>
      </c>
    </row>
    <row r="130" spans="1:16" ht="66" customHeight="1">
      <c r="A130" s="45">
        <v>155</v>
      </c>
      <c r="B130" s="63">
        <v>5</v>
      </c>
      <c r="C130" s="62" t="s">
        <v>242</v>
      </c>
      <c r="D130" s="62"/>
      <c r="E130" s="63" t="s">
        <v>243</v>
      </c>
      <c r="F130" s="35"/>
      <c r="G130" s="6">
        <v>60.7</v>
      </c>
      <c r="H130" s="6">
        <v>5.95</v>
      </c>
      <c r="I130" s="6">
        <v>95.1</v>
      </c>
      <c r="J130" s="23"/>
      <c r="K130" s="37">
        <v>1483</v>
      </c>
      <c r="L130" s="3">
        <v>1671</v>
      </c>
      <c r="M130" s="7">
        <v>1</v>
      </c>
      <c r="N130" s="22">
        <v>9</v>
      </c>
      <c r="P130" s="30">
        <f t="shared" si="2"/>
        <v>1671</v>
      </c>
    </row>
    <row r="131" spans="1:16" ht="66" customHeight="1">
      <c r="A131" s="45">
        <v>155</v>
      </c>
      <c r="B131" s="63">
        <v>6</v>
      </c>
      <c r="C131" s="62" t="s">
        <v>244</v>
      </c>
      <c r="D131" s="62"/>
      <c r="E131" s="63" t="s">
        <v>245</v>
      </c>
      <c r="F131" s="35"/>
      <c r="G131" s="6">
        <v>53.76</v>
      </c>
      <c r="H131" s="6">
        <v>7.35</v>
      </c>
      <c r="I131" s="6">
        <v>54.1</v>
      </c>
      <c r="J131" s="23"/>
      <c r="K131" s="37">
        <v>999</v>
      </c>
      <c r="L131" s="3">
        <v>1695</v>
      </c>
      <c r="M131" s="7">
        <v>1</v>
      </c>
      <c r="N131" s="22">
        <v>9</v>
      </c>
      <c r="P131" s="30">
        <f t="shared" si="2"/>
        <v>1695</v>
      </c>
    </row>
    <row r="132" spans="1:16" ht="66" customHeight="1">
      <c r="A132" s="45">
        <v>155</v>
      </c>
      <c r="B132" s="63">
        <v>8</v>
      </c>
      <c r="C132" s="62" t="s">
        <v>246</v>
      </c>
      <c r="D132" s="62"/>
      <c r="E132" s="63" t="s">
        <v>247</v>
      </c>
      <c r="F132" s="35"/>
      <c r="G132" s="6">
        <v>75.97</v>
      </c>
      <c r="H132" s="6">
        <v>5.3</v>
      </c>
      <c r="I132" s="6">
        <v>159</v>
      </c>
      <c r="J132" s="23"/>
      <c r="K132" s="37">
        <v>1401</v>
      </c>
      <c r="L132" s="3">
        <v>1512</v>
      </c>
      <c r="M132" s="7">
        <v>1</v>
      </c>
      <c r="N132" s="22">
        <v>9</v>
      </c>
      <c r="P132" s="30">
        <f t="shared" si="2"/>
        <v>1512</v>
      </c>
    </row>
    <row r="133" spans="1:16" ht="66" customHeight="1">
      <c r="A133" s="45">
        <v>155</v>
      </c>
      <c r="B133" s="63">
        <v>10</v>
      </c>
      <c r="C133" s="62" t="s">
        <v>248</v>
      </c>
      <c r="D133" s="62"/>
      <c r="E133" s="63" t="s">
        <v>249</v>
      </c>
      <c r="F133" s="35"/>
      <c r="G133" s="6">
        <v>64.34</v>
      </c>
      <c r="H133" s="6">
        <v>5.45</v>
      </c>
      <c r="I133" s="6">
        <v>103.5</v>
      </c>
      <c r="J133" s="23"/>
      <c r="K133" s="37">
        <v>1431</v>
      </c>
      <c r="L133" s="3">
        <v>1283</v>
      </c>
      <c r="M133" s="7">
        <v>1</v>
      </c>
      <c r="N133" s="22">
        <v>9</v>
      </c>
      <c r="P133" s="30">
        <f t="shared" si="2"/>
        <v>1283</v>
      </c>
    </row>
    <row r="134" spans="1:16" ht="66" customHeight="1">
      <c r="A134" s="45">
        <v>155</v>
      </c>
      <c r="B134" s="63">
        <v>11</v>
      </c>
      <c r="C134" s="62" t="s">
        <v>250</v>
      </c>
      <c r="D134" s="62"/>
      <c r="E134" s="63" t="s">
        <v>241</v>
      </c>
      <c r="F134" s="35"/>
      <c r="G134" s="6">
        <v>66.75</v>
      </c>
      <c r="H134" s="6">
        <v>5.03</v>
      </c>
      <c r="I134" s="6">
        <v>133.5</v>
      </c>
      <c r="J134" s="23"/>
      <c r="K134" s="37">
        <v>1309</v>
      </c>
      <c r="L134" s="3">
        <v>1244</v>
      </c>
      <c r="M134" s="7">
        <v>1</v>
      </c>
      <c r="N134" s="22">
        <v>9</v>
      </c>
      <c r="P134" s="30">
        <f t="shared" si="2"/>
        <v>1244</v>
      </c>
    </row>
    <row r="135" spans="1:16" ht="66" customHeight="1">
      <c r="A135" s="45">
        <v>155</v>
      </c>
      <c r="B135" s="63">
        <v>12</v>
      </c>
      <c r="C135" s="62" t="s">
        <v>251</v>
      </c>
      <c r="D135" s="62"/>
      <c r="E135" s="63" t="s">
        <v>252</v>
      </c>
      <c r="F135" s="35"/>
      <c r="G135" s="6">
        <v>65.540000000000006</v>
      </c>
      <c r="H135" s="6">
        <v>5.0999999999999996</v>
      </c>
      <c r="I135" s="6">
        <v>84.46</v>
      </c>
      <c r="J135" s="23"/>
      <c r="K135" s="37">
        <v>769</v>
      </c>
      <c r="L135" s="3">
        <v>1324</v>
      </c>
      <c r="M135" s="7">
        <v>1</v>
      </c>
      <c r="N135" s="22">
        <v>9</v>
      </c>
      <c r="P135" s="30">
        <f t="shared" si="2"/>
        <v>1324</v>
      </c>
    </row>
    <row r="136" spans="1:16" ht="66" customHeight="1">
      <c r="A136" s="45">
        <v>155</v>
      </c>
      <c r="B136" s="63">
        <v>13</v>
      </c>
      <c r="C136" s="62" t="s">
        <v>253</v>
      </c>
      <c r="D136" s="62"/>
      <c r="E136" s="63" t="s">
        <v>254</v>
      </c>
      <c r="F136" s="35"/>
      <c r="G136" s="6">
        <v>59.2</v>
      </c>
      <c r="H136" s="6">
        <v>7.35</v>
      </c>
      <c r="I136" s="6">
        <v>69.650000000000006</v>
      </c>
      <c r="J136" s="23"/>
      <c r="K136" s="37">
        <v>999</v>
      </c>
      <c r="L136" s="3">
        <v>1723</v>
      </c>
      <c r="M136" s="7">
        <v>1</v>
      </c>
      <c r="N136" s="22">
        <v>9</v>
      </c>
      <c r="P136" s="30">
        <f t="shared" si="2"/>
        <v>1723</v>
      </c>
    </row>
    <row r="137" spans="1:16" ht="66" customHeight="1">
      <c r="A137" s="45">
        <v>155</v>
      </c>
      <c r="B137" s="63">
        <v>14</v>
      </c>
      <c r="C137" s="62" t="s">
        <v>255</v>
      </c>
      <c r="D137" s="62"/>
      <c r="E137" s="63" t="s">
        <v>249</v>
      </c>
      <c r="F137" s="35"/>
      <c r="G137" s="6">
        <v>54.63</v>
      </c>
      <c r="H137" s="6">
        <v>4.6500000000000004</v>
      </c>
      <c r="I137" s="6">
        <v>82</v>
      </c>
      <c r="J137" s="23"/>
      <c r="K137" s="37">
        <v>1251</v>
      </c>
      <c r="L137" s="3">
        <v>1115</v>
      </c>
      <c r="M137" s="7">
        <v>1</v>
      </c>
      <c r="N137" s="22">
        <v>9</v>
      </c>
      <c r="P137" s="30">
        <f t="shared" si="2"/>
        <v>1115</v>
      </c>
    </row>
    <row r="138" spans="1:16" ht="66" customHeight="1">
      <c r="A138" s="45">
        <v>155</v>
      </c>
      <c r="B138" s="63">
        <v>15</v>
      </c>
      <c r="C138" s="62" t="s">
        <v>256</v>
      </c>
      <c r="D138" s="62"/>
      <c r="E138" s="63" t="s">
        <v>239</v>
      </c>
      <c r="F138" s="35"/>
      <c r="G138" s="6">
        <v>64.84</v>
      </c>
      <c r="H138" s="6">
        <v>5.0999999999999996</v>
      </c>
      <c r="I138" s="6">
        <v>101.5</v>
      </c>
      <c r="J138" s="23"/>
      <c r="K138" s="37">
        <v>1387</v>
      </c>
      <c r="L138" s="3">
        <v>1236</v>
      </c>
      <c r="M138" s="7">
        <v>1</v>
      </c>
      <c r="N138" s="22">
        <v>9</v>
      </c>
      <c r="P138" s="30">
        <f t="shared" si="2"/>
        <v>1236</v>
      </c>
    </row>
    <row r="139" spans="1:16" ht="66" customHeight="1">
      <c r="A139" s="45">
        <v>155</v>
      </c>
      <c r="B139" s="63">
        <v>16</v>
      </c>
      <c r="C139" s="62" t="s">
        <v>257</v>
      </c>
      <c r="D139" s="62"/>
      <c r="E139" s="63" t="s">
        <v>241</v>
      </c>
      <c r="F139" s="35"/>
      <c r="G139" s="6">
        <v>74.62</v>
      </c>
      <c r="H139" s="6">
        <v>5.4</v>
      </c>
      <c r="I139" s="6">
        <v>140</v>
      </c>
      <c r="J139" s="23"/>
      <c r="K139" s="37">
        <v>1411</v>
      </c>
      <c r="L139" s="3">
        <v>1333</v>
      </c>
      <c r="M139" s="7">
        <v>1</v>
      </c>
      <c r="N139" s="22">
        <v>9</v>
      </c>
      <c r="P139" s="30">
        <f t="shared" ref="P139:P149" si="3">ROUND(L139,0)</f>
        <v>1333</v>
      </c>
    </row>
    <row r="140" spans="1:16" ht="66" customHeight="1">
      <c r="A140" s="45">
        <v>155</v>
      </c>
      <c r="B140" s="80">
        <v>17</v>
      </c>
      <c r="C140" s="62" t="s">
        <v>258</v>
      </c>
      <c r="D140" s="79"/>
      <c r="E140" s="80" t="s">
        <v>259</v>
      </c>
      <c r="F140" s="35"/>
      <c r="G140" s="6">
        <v>62.18</v>
      </c>
      <c r="H140" s="6">
        <v>4.3499999999999996</v>
      </c>
      <c r="I140" s="6">
        <v>89.9</v>
      </c>
      <c r="J140" s="23"/>
      <c r="K140" s="37">
        <v>1164</v>
      </c>
      <c r="L140" s="3">
        <v>1032</v>
      </c>
      <c r="M140" s="7">
        <v>1</v>
      </c>
      <c r="N140" s="22">
        <v>9</v>
      </c>
      <c r="P140" s="30">
        <f t="shared" si="3"/>
        <v>1032</v>
      </c>
    </row>
    <row r="141" spans="1:16" ht="66" customHeight="1">
      <c r="A141" s="45">
        <v>155</v>
      </c>
      <c r="B141" s="5">
        <v>18</v>
      </c>
      <c r="C141" s="62" t="s">
        <v>260</v>
      </c>
      <c r="D141" s="64"/>
      <c r="E141" s="5" t="s">
        <v>243</v>
      </c>
      <c r="F141" s="35"/>
      <c r="G141" s="6">
        <v>77.36</v>
      </c>
      <c r="H141" s="6">
        <v>5.4</v>
      </c>
      <c r="I141" s="6">
        <v>194</v>
      </c>
      <c r="J141" s="23"/>
      <c r="K141" s="37">
        <v>1321</v>
      </c>
      <c r="L141" s="3">
        <v>2055</v>
      </c>
      <c r="M141" s="7">
        <v>1</v>
      </c>
      <c r="N141" s="22">
        <v>9</v>
      </c>
      <c r="P141" s="30">
        <f t="shared" si="3"/>
        <v>2055</v>
      </c>
    </row>
    <row r="142" spans="1:16" ht="66" customHeight="1">
      <c r="A142" s="45">
        <v>155</v>
      </c>
      <c r="B142" s="63">
        <v>1</v>
      </c>
      <c r="C142" s="62" t="s">
        <v>261</v>
      </c>
      <c r="D142" s="62"/>
      <c r="E142" s="63" t="s">
        <v>262</v>
      </c>
      <c r="F142" s="35"/>
      <c r="G142" s="6">
        <v>6.2</v>
      </c>
      <c r="H142" s="6">
        <v>1.52</v>
      </c>
      <c r="I142" s="6">
        <v>3.34</v>
      </c>
      <c r="J142" s="23"/>
      <c r="K142" s="37">
        <v>352</v>
      </c>
      <c r="L142" s="3">
        <v>347</v>
      </c>
      <c r="M142" s="81">
        <v>3</v>
      </c>
      <c r="N142" s="22">
        <v>10</v>
      </c>
      <c r="P142" s="30">
        <f t="shared" si="3"/>
        <v>347</v>
      </c>
    </row>
    <row r="143" spans="1:16" ht="66" customHeight="1">
      <c r="A143" s="45">
        <v>155</v>
      </c>
      <c r="B143" s="63">
        <v>2</v>
      </c>
      <c r="C143" s="62" t="s">
        <v>263</v>
      </c>
      <c r="D143" s="62"/>
      <c r="E143" s="63" t="s">
        <v>264</v>
      </c>
      <c r="F143" s="35"/>
      <c r="G143" s="6">
        <v>5.78</v>
      </c>
      <c r="H143" s="6">
        <v>1.01</v>
      </c>
      <c r="I143" s="6">
        <v>1.43</v>
      </c>
      <c r="J143" s="23"/>
      <c r="K143" s="37">
        <v>297</v>
      </c>
      <c r="L143" s="3">
        <v>228</v>
      </c>
      <c r="M143" s="81">
        <v>3</v>
      </c>
      <c r="N143" s="22">
        <v>10</v>
      </c>
      <c r="P143" s="30">
        <f t="shared" si="3"/>
        <v>228</v>
      </c>
    </row>
    <row r="144" spans="1:16" ht="66" customHeight="1">
      <c r="A144" s="45">
        <v>155</v>
      </c>
      <c r="B144" s="63">
        <v>3</v>
      </c>
      <c r="C144" s="62" t="s">
        <v>265</v>
      </c>
      <c r="D144" s="62"/>
      <c r="E144" s="63" t="s">
        <v>266</v>
      </c>
      <c r="F144" s="35"/>
      <c r="G144" s="6">
        <v>5.1624999999999996</v>
      </c>
      <c r="H144" s="6">
        <v>0.68</v>
      </c>
      <c r="I144" s="6">
        <v>2.38</v>
      </c>
      <c r="J144" s="23"/>
      <c r="K144" s="37">
        <v>288</v>
      </c>
      <c r="L144" s="3">
        <v>211</v>
      </c>
      <c r="M144" s="81">
        <v>4</v>
      </c>
      <c r="N144" s="22">
        <v>10</v>
      </c>
      <c r="P144" s="30">
        <f t="shared" si="3"/>
        <v>211</v>
      </c>
    </row>
    <row r="145" spans="1:16" ht="66" customHeight="1">
      <c r="A145" s="45">
        <v>155</v>
      </c>
      <c r="B145" s="63">
        <v>4</v>
      </c>
      <c r="C145" s="62" t="s">
        <v>267</v>
      </c>
      <c r="D145" s="62"/>
      <c r="E145" s="63" t="s">
        <v>268</v>
      </c>
      <c r="F145" s="35"/>
      <c r="G145" s="6">
        <v>0.98538461538461541</v>
      </c>
      <c r="H145" s="6">
        <v>0.23</v>
      </c>
      <c r="I145" s="6"/>
      <c r="J145" s="23"/>
      <c r="K145" s="37">
        <v>20</v>
      </c>
      <c r="L145" s="3">
        <v>34</v>
      </c>
      <c r="M145" s="81">
        <v>26</v>
      </c>
      <c r="N145" s="22">
        <v>10</v>
      </c>
      <c r="P145" s="30">
        <f t="shared" si="3"/>
        <v>34</v>
      </c>
    </row>
    <row r="146" spans="1:16" ht="66" customHeight="1">
      <c r="A146" s="45">
        <v>155</v>
      </c>
      <c r="B146" s="63">
        <v>5</v>
      </c>
      <c r="C146" s="62" t="s">
        <v>269</v>
      </c>
      <c r="D146" s="62"/>
      <c r="E146" s="63" t="s">
        <v>270</v>
      </c>
      <c r="F146" s="35"/>
      <c r="G146" s="6">
        <v>0.26666666666666666</v>
      </c>
      <c r="H146" s="6">
        <v>0.14000000000000001</v>
      </c>
      <c r="I146" s="6"/>
      <c r="J146" s="23"/>
      <c r="K146" s="37">
        <v>19</v>
      </c>
      <c r="L146" s="3">
        <v>20</v>
      </c>
      <c r="M146" s="81">
        <v>27</v>
      </c>
      <c r="N146" s="22">
        <v>10</v>
      </c>
      <c r="P146" s="30">
        <f t="shared" si="3"/>
        <v>20</v>
      </c>
    </row>
    <row r="147" spans="1:16" ht="66" customHeight="1">
      <c r="A147" s="45">
        <v>155</v>
      </c>
      <c r="B147" s="33"/>
      <c r="C147" s="62" t="s">
        <v>271</v>
      </c>
      <c r="D147" s="62"/>
      <c r="E147" s="63" t="s">
        <v>272</v>
      </c>
      <c r="F147" s="35"/>
      <c r="G147" s="6">
        <v>3.930769230769231</v>
      </c>
      <c r="H147" s="6">
        <v>0.61</v>
      </c>
      <c r="I147" s="6"/>
      <c r="J147" s="23"/>
      <c r="K147" s="37">
        <v>171</v>
      </c>
      <c r="L147" s="3">
        <v>118</v>
      </c>
      <c r="M147" s="7">
        <v>13</v>
      </c>
      <c r="N147" s="22">
        <v>10</v>
      </c>
      <c r="P147" s="30">
        <f t="shared" si="3"/>
        <v>118</v>
      </c>
    </row>
    <row r="148" spans="1:16" ht="66" customHeight="1">
      <c r="A148" s="45">
        <v>155</v>
      </c>
      <c r="B148" s="32"/>
      <c r="C148" s="62" t="s">
        <v>273</v>
      </c>
      <c r="D148" s="62"/>
      <c r="E148" s="63" t="s">
        <v>274</v>
      </c>
      <c r="F148" s="35"/>
      <c r="G148" s="6">
        <v>2.8653846153846154</v>
      </c>
      <c r="H148" s="6">
        <v>0.48</v>
      </c>
      <c r="I148" s="6"/>
      <c r="J148" s="23"/>
      <c r="K148" s="37">
        <v>131</v>
      </c>
      <c r="L148" s="3">
        <v>93</v>
      </c>
      <c r="M148" s="7">
        <v>13</v>
      </c>
      <c r="N148" s="22">
        <v>10</v>
      </c>
      <c r="P148" s="30">
        <f t="shared" si="3"/>
        <v>93</v>
      </c>
    </row>
    <row r="149" spans="1:16" ht="66" customHeight="1">
      <c r="A149" s="45">
        <v>155</v>
      </c>
      <c r="B149" s="33"/>
      <c r="C149" s="62" t="s">
        <v>275</v>
      </c>
      <c r="D149" s="62"/>
      <c r="E149" s="63" t="s">
        <v>276</v>
      </c>
      <c r="F149" s="35"/>
      <c r="G149" s="6">
        <v>0.99230769230769234</v>
      </c>
      <c r="H149" s="6">
        <v>0.2</v>
      </c>
      <c r="I149" s="6"/>
      <c r="J149" s="23"/>
      <c r="K149" s="37">
        <v>29</v>
      </c>
      <c r="L149" s="3">
        <v>32</v>
      </c>
      <c r="M149" s="7">
        <v>26</v>
      </c>
      <c r="N149" s="22">
        <v>10</v>
      </c>
      <c r="P149" s="30">
        <f t="shared" si="3"/>
        <v>32</v>
      </c>
    </row>
    <row r="150" spans="1:16" ht="66" customHeight="1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/>
      <c r="N150" s="22"/>
    </row>
    <row r="151" spans="1:16" ht="66" customHeight="1">
      <c r="A151" s="7"/>
      <c r="B151" s="33"/>
      <c r="C151" s="7"/>
      <c r="D151" s="11"/>
      <c r="E151" s="4"/>
      <c r="F151" s="35"/>
      <c r="G151" s="6"/>
      <c r="H151" s="6"/>
      <c r="I151" s="6"/>
      <c r="J151" s="6"/>
      <c r="K151" s="28"/>
      <c r="L151" s="3"/>
      <c r="M151" s="7"/>
      <c r="N151" s="22"/>
    </row>
    <row r="152" spans="1:16" ht="66" customHeight="1">
      <c r="A152" s="31"/>
      <c r="B152" s="32"/>
      <c r="C152" s="7"/>
      <c r="D152" s="11"/>
      <c r="E152" s="5"/>
      <c r="F152" s="35"/>
      <c r="G152" s="6"/>
      <c r="H152" s="6"/>
      <c r="I152" s="6"/>
      <c r="J152" s="6"/>
      <c r="K152" s="28"/>
      <c r="L152" s="3"/>
      <c r="M152" s="7"/>
      <c r="N152" s="22"/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6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7"/>
      <c r="B156" s="33"/>
      <c r="C156" s="7"/>
      <c r="D156" s="11"/>
      <c r="E156" s="4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31"/>
      <c r="B157" s="32"/>
      <c r="C157" s="7"/>
      <c r="D157" s="11"/>
      <c r="E157" s="5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7"/>
      <c r="B158" s="33"/>
      <c r="C158" s="7"/>
      <c r="D158" s="11"/>
      <c r="E158" s="4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7"/>
      <c r="B177" s="33"/>
      <c r="C177" s="7"/>
      <c r="D177" s="11"/>
      <c r="E177" s="4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7"/>
      <c r="B198" s="33"/>
      <c r="C198" s="7"/>
      <c r="D198" s="11"/>
      <c r="E198" s="4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7"/>
      <c r="B219" s="33"/>
      <c r="C219" s="7"/>
      <c r="D219" s="11"/>
      <c r="E219" s="4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7"/>
      <c r="B240" s="33"/>
      <c r="C240" s="7"/>
      <c r="D240" s="11"/>
      <c r="E240" s="4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7"/>
      <c r="B261" s="33"/>
      <c r="C261" s="7"/>
      <c r="D261" s="11"/>
      <c r="E261" s="4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7"/>
      <c r="B282" s="33"/>
      <c r="C282" s="7"/>
      <c r="D282" s="11"/>
      <c r="E282" s="4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7"/>
      <c r="B303" s="33"/>
      <c r="C303" s="7"/>
      <c r="D303" s="11"/>
      <c r="E303" s="4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7"/>
      <c r="B324" s="33"/>
      <c r="C324" s="7"/>
      <c r="D324" s="11"/>
      <c r="E324" s="4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7"/>
      <c r="B345" s="33"/>
      <c r="C345" s="7"/>
      <c r="D345" s="11"/>
      <c r="E345" s="4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7"/>
      <c r="B366" s="33"/>
      <c r="C366" s="7"/>
      <c r="D366" s="11"/>
      <c r="E366" s="4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7"/>
      <c r="B387" s="33"/>
      <c r="C387" s="7"/>
      <c r="D387" s="11"/>
      <c r="E387" s="4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7"/>
      <c r="B408" s="33"/>
      <c r="C408" s="7"/>
      <c r="D408" s="11"/>
      <c r="E408" s="4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7"/>
      <c r="B429" s="33"/>
      <c r="C429" s="7"/>
      <c r="D429" s="11"/>
      <c r="E429" s="4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7"/>
      <c r="B450" s="33"/>
      <c r="C450" s="7"/>
      <c r="D450" s="11"/>
      <c r="E450" s="4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7"/>
      <c r="B471" s="33"/>
      <c r="C471" s="7"/>
      <c r="D471" s="11"/>
      <c r="E471" s="4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7"/>
      <c r="B492" s="33"/>
      <c r="C492" s="7"/>
      <c r="D492" s="11"/>
      <c r="E492" s="4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7"/>
      <c r="B513" s="33"/>
      <c r="C513" s="7"/>
      <c r="D513" s="11"/>
      <c r="E513" s="4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7"/>
      <c r="B534" s="33"/>
      <c r="C534" s="7"/>
      <c r="D534" s="11"/>
      <c r="E534" s="4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7"/>
      <c r="B555" s="33"/>
      <c r="C555" s="7"/>
      <c r="D555" s="11"/>
      <c r="E555" s="4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7"/>
      <c r="B576" s="33"/>
      <c r="C576" s="7"/>
      <c r="D576" s="11"/>
      <c r="E576" s="4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7"/>
      <c r="B597" s="33"/>
      <c r="C597" s="7"/>
      <c r="D597" s="11"/>
      <c r="E597" s="4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7"/>
      <c r="B618" s="33"/>
      <c r="C618" s="7"/>
      <c r="D618" s="11"/>
      <c r="E618" s="4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7"/>
      <c r="B639" s="33"/>
      <c r="C639" s="7"/>
      <c r="D639" s="11"/>
      <c r="E639" s="4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7"/>
      <c r="B660" s="33"/>
      <c r="C660" s="7"/>
      <c r="D660" s="11"/>
      <c r="E660" s="4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7"/>
      <c r="B681" s="33"/>
      <c r="C681" s="7"/>
      <c r="D681" s="11"/>
      <c r="E681" s="4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7"/>
      <c r="B702" s="33"/>
      <c r="C702" s="7"/>
      <c r="D702" s="11"/>
      <c r="E702" s="4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7"/>
      <c r="B723" s="33"/>
      <c r="C723" s="7"/>
      <c r="D723" s="11"/>
      <c r="E723" s="4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7"/>
      <c r="B744" s="33"/>
      <c r="C744" s="7"/>
      <c r="D744" s="11"/>
      <c r="E744" s="4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7"/>
      <c r="B765" s="33"/>
      <c r="C765" s="7"/>
      <c r="D765" s="11"/>
      <c r="E765" s="4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7"/>
      <c r="B786" s="33"/>
      <c r="C786" s="7"/>
      <c r="D786" s="11"/>
      <c r="E786" s="4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7"/>
      <c r="B807" s="33"/>
      <c r="C807" s="7"/>
      <c r="D807" s="11"/>
      <c r="E807" s="4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7"/>
      <c r="B828" s="33"/>
      <c r="C828" s="7"/>
      <c r="D828" s="11"/>
      <c r="E828" s="4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7"/>
      <c r="B849" s="33"/>
      <c r="C849" s="7"/>
      <c r="D849" s="11"/>
      <c r="E849" s="4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7"/>
      <c r="B870" s="33"/>
      <c r="C870" s="7"/>
      <c r="D870" s="11"/>
      <c r="E870" s="4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7"/>
      <c r="B891" s="33"/>
      <c r="C891" s="7"/>
      <c r="D891" s="11"/>
      <c r="E891" s="4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7"/>
      <c r="B912" s="33"/>
      <c r="C912" s="7"/>
      <c r="D912" s="11"/>
      <c r="E912" s="4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7"/>
      <c r="B933" s="33"/>
      <c r="C933" s="7"/>
      <c r="D933" s="11"/>
      <c r="E933" s="4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7"/>
      <c r="B954" s="33"/>
      <c r="C954" s="7"/>
      <c r="D954" s="11"/>
      <c r="E954" s="4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7"/>
      <c r="B975" s="33"/>
      <c r="C975" s="7"/>
      <c r="D975" s="11"/>
      <c r="E975" s="4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7"/>
      <c r="B996" s="33"/>
      <c r="C996" s="7"/>
      <c r="D996" s="11"/>
      <c r="E996" s="4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7"/>
      <c r="B1017" s="33"/>
      <c r="C1017" s="7"/>
      <c r="D1017" s="11"/>
      <c r="E1017" s="4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7"/>
      <c r="B1038" s="33"/>
      <c r="C1038" s="7"/>
      <c r="D1038" s="11"/>
      <c r="E1038" s="4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7"/>
      <c r="B1059" s="33"/>
      <c r="C1059" s="7"/>
      <c r="D1059" s="11"/>
      <c r="E1059" s="4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7"/>
      <c r="B1080" s="33"/>
      <c r="C1080" s="7"/>
      <c r="D1080" s="11"/>
      <c r="E1080" s="4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7"/>
      <c r="B1101" s="33"/>
      <c r="C1101" s="7"/>
      <c r="D1101" s="11"/>
      <c r="E1101" s="4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31"/>
      <c r="B1102" s="32"/>
      <c r="C1102" s="7"/>
      <c r="D1102" s="11"/>
      <c r="E1102" s="5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7"/>
      <c r="B1103" s="33"/>
      <c r="C1103" s="7"/>
      <c r="D1103" s="11"/>
      <c r="E1103" s="4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7"/>
      <c r="B1122" s="33"/>
      <c r="C1122" s="7"/>
      <c r="D1122" s="11"/>
      <c r="E1122" s="4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31"/>
      <c r="B1123" s="32"/>
      <c r="C1123" s="7"/>
      <c r="D1123" s="11"/>
      <c r="E1123" s="5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7"/>
      <c r="B1124" s="33"/>
      <c r="C1124" s="7"/>
      <c r="D1124" s="11"/>
      <c r="E1124" s="4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7"/>
      <c r="B1143" s="33"/>
      <c r="C1143" s="7"/>
      <c r="D1143" s="11"/>
      <c r="E1143" s="4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31"/>
      <c r="B1144" s="32"/>
      <c r="C1144" s="7"/>
      <c r="D1144" s="11"/>
      <c r="E1144" s="5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7"/>
      <c r="B1145" s="33"/>
      <c r="C1145" s="7"/>
      <c r="D1145" s="11"/>
      <c r="E1145" s="4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7"/>
      <c r="B1164" s="33"/>
      <c r="C1164" s="7"/>
      <c r="D1164" s="11"/>
      <c r="E1164" s="4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31"/>
      <c r="B1165" s="32"/>
      <c r="C1165" s="7"/>
      <c r="D1165" s="11"/>
      <c r="E1165" s="5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7"/>
      <c r="B1166" s="33"/>
      <c r="C1166" s="7"/>
      <c r="D1166" s="11"/>
      <c r="E1166" s="4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7"/>
      <c r="B1170" s="33"/>
      <c r="C1170" s="7"/>
      <c r="D1170" s="11"/>
      <c r="E1170" s="4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7"/>
      <c r="B1185" s="33"/>
      <c r="C1185" s="7"/>
      <c r="D1185" s="11"/>
      <c r="E1185" s="4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31"/>
      <c r="B1186" s="32"/>
      <c r="C1186" s="7"/>
      <c r="D1186" s="11"/>
      <c r="E1186" s="5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7"/>
      <c r="B1187" s="33"/>
      <c r="C1187" s="7"/>
      <c r="D1187" s="11"/>
      <c r="E1187" s="4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7"/>
      <c r="B1191" s="33"/>
      <c r="C1191" s="7"/>
      <c r="D1191" s="11"/>
      <c r="E1191" s="4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7"/>
      <c r="B1197" s="33"/>
      <c r="C1197" s="7"/>
      <c r="D1197" s="11"/>
      <c r="E1197" s="4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7"/>
      <c r="B1199" s="33"/>
      <c r="C1199" s="7"/>
      <c r="D1199" s="11"/>
      <c r="E1199" s="4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31"/>
      <c r="B1200" s="32"/>
      <c r="C1200" s="7"/>
      <c r="D1200" s="11"/>
      <c r="E1200" s="5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7"/>
      <c r="B1201" s="33"/>
      <c r="C1201" s="7"/>
      <c r="D1201" s="11"/>
      <c r="E1201" s="4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31"/>
      <c r="B1202" s="32"/>
      <c r="C1202" s="7"/>
      <c r="D1202" s="11"/>
      <c r="E1202" s="5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7"/>
      <c r="B1206" s="33"/>
      <c r="C1206" s="7"/>
      <c r="D1206" s="11"/>
      <c r="E1206" s="4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31"/>
      <c r="B1207" s="32"/>
      <c r="C1207" s="7"/>
      <c r="D1207" s="11"/>
      <c r="E1207" s="5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7"/>
      <c r="B1208" s="33"/>
      <c r="C1208" s="7"/>
      <c r="D1208" s="11"/>
      <c r="E1208" s="4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31"/>
      <c r="B1209" s="32"/>
      <c r="C1209" s="7"/>
      <c r="D1209" s="11"/>
      <c r="E1209" s="5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7"/>
      <c r="B1210" s="33"/>
      <c r="C1210" s="7"/>
      <c r="D1210" s="11"/>
      <c r="E1210" s="4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31"/>
      <c r="B1211" s="32"/>
      <c r="C1211" s="7"/>
      <c r="D1211" s="11"/>
      <c r="E1211" s="5"/>
      <c r="F1211" s="35"/>
      <c r="G1211" s="6"/>
      <c r="H1211" s="6"/>
      <c r="I1211" s="6"/>
      <c r="J1211" s="6"/>
      <c r="K1211" s="28"/>
      <c r="L1211" s="3"/>
      <c r="M1211" s="7"/>
      <c r="N1211" s="22"/>
    </row>
  </sheetData>
  <conditionalFormatting sqref="C1:C37 C44:C1048576">
    <cfRule type="duplicateValues" dxfId="31" priority="116"/>
  </conditionalFormatting>
  <conditionalFormatting sqref="L1:L1048576">
    <cfRule type="duplicateValues" dxfId="30" priority="69"/>
  </conditionalFormatting>
  <conditionalFormatting sqref="C2:C6">
    <cfRule type="duplicateValues" dxfId="29" priority="68"/>
  </conditionalFormatting>
  <conditionalFormatting sqref="L2">
    <cfRule type="duplicateValues" dxfId="28" priority="67"/>
  </conditionalFormatting>
  <conditionalFormatting sqref="C3:C4">
    <cfRule type="duplicateValues" dxfId="27" priority="65"/>
  </conditionalFormatting>
  <conditionalFormatting sqref="L3:L4">
    <cfRule type="duplicateValues" dxfId="26" priority="64"/>
  </conditionalFormatting>
  <conditionalFormatting sqref="L2:L4">
    <cfRule type="duplicateValues" dxfId="25" priority="61"/>
  </conditionalFormatting>
  <conditionalFormatting sqref="C8:C18">
    <cfRule type="duplicateValues" dxfId="24" priority="56"/>
  </conditionalFormatting>
  <conditionalFormatting sqref="C5">
    <cfRule type="duplicateValues" dxfId="23" priority="52"/>
  </conditionalFormatting>
  <conditionalFormatting sqref="C7">
    <cfRule type="duplicateValues" dxfId="22" priority="51"/>
  </conditionalFormatting>
  <conditionalFormatting sqref="C12:C13">
    <cfRule type="duplicateValues" dxfId="21" priority="50"/>
  </conditionalFormatting>
  <conditionalFormatting sqref="C14:C18">
    <cfRule type="duplicateValues" dxfId="20" priority="49"/>
  </conditionalFormatting>
  <conditionalFormatting sqref="C16:C18">
    <cfRule type="duplicateValues" dxfId="19" priority="48"/>
  </conditionalFormatting>
  <conditionalFormatting sqref="C17:C18">
    <cfRule type="duplicateValues" dxfId="18" priority="47"/>
  </conditionalFormatting>
  <conditionalFormatting sqref="C3">
    <cfRule type="duplicateValues" dxfId="17" priority="46"/>
  </conditionalFormatting>
  <conditionalFormatting sqref="C4">
    <cfRule type="duplicateValues" dxfId="16" priority="45"/>
  </conditionalFormatting>
  <conditionalFormatting sqref="C6">
    <cfRule type="duplicateValues" dxfId="15" priority="44"/>
  </conditionalFormatting>
  <conditionalFormatting sqref="C8:C11">
    <cfRule type="duplicateValues" dxfId="14" priority="43"/>
  </conditionalFormatting>
  <conditionalFormatting sqref="C9 C11">
    <cfRule type="duplicateValues" dxfId="13" priority="41"/>
  </conditionalFormatting>
  <conditionalFormatting sqref="C9">
    <cfRule type="duplicateValues" dxfId="12" priority="40"/>
  </conditionalFormatting>
  <conditionalFormatting sqref="C13">
    <cfRule type="duplicateValues" dxfId="11" priority="39"/>
  </conditionalFormatting>
  <conditionalFormatting sqref="C15">
    <cfRule type="duplicateValues" dxfId="10" priority="38"/>
  </conditionalFormatting>
  <conditionalFormatting sqref="C18">
    <cfRule type="duplicateValues" dxfId="9" priority="37"/>
  </conditionalFormatting>
  <conditionalFormatting sqref="C2:C21">
    <cfRule type="duplicateValues" dxfId="8" priority="35"/>
  </conditionalFormatting>
  <conditionalFormatting sqref="K2:K21">
    <cfRule type="containsErrors" dxfId="7" priority="34" stopIfTrue="1">
      <formula>ISERROR('G:\EXPORT 16TH MAY 2018\[161 GOLD ORDER SHEET 16TH MAY 2018.xls]RINGS'!A1)</formula>
    </cfRule>
  </conditionalFormatting>
  <conditionalFormatting sqref="K2:K21">
    <cfRule type="containsErrors" dxfId="6" priority="33" stopIfTrue="1">
      <formula>ISERROR('G:\EXPORT 16TH MAY 2018\[161 GOLD ORDER SHEET 16TH MAY 2018.xls]RINGS'!A1)</formula>
    </cfRule>
  </conditionalFormatting>
  <conditionalFormatting sqref="K2:K21">
    <cfRule type="containsErrors" dxfId="5" priority="32" stopIfTrue="1">
      <formula>ISERROR('G:\EXPORT 16TH MAY 2018\[161 GOLD ORDER SHEET 16TH MAY 2018.xls]RINGS'!A1)</formula>
    </cfRule>
  </conditionalFormatting>
  <conditionalFormatting sqref="K2:K21">
    <cfRule type="cellIs" dxfId="4" priority="31" operator="equal">
      <formula>0</formula>
    </cfRule>
  </conditionalFormatting>
  <conditionalFormatting sqref="B43:B65285">
    <cfRule type="duplicateValues" dxfId="3" priority="130" stopIfTrue="1"/>
  </conditionalFormatting>
  <conditionalFormatting sqref="C22:C37 C44">
    <cfRule type="duplicateValues" dxfId="2" priority="172"/>
  </conditionalFormatting>
  <conditionalFormatting sqref="C2">
    <cfRule type="duplicateValues" dxfId="1" priority="25"/>
  </conditionalFormatting>
  <conditionalFormatting sqref="C2:C42">
    <cfRule type="duplicateValues" dxfId="0" priority="2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2018-05-19T11:04:48Z</dcterms:modified>
</cp:coreProperties>
</file>