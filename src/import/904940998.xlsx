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48" i="16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149"/>
  <c r="P150"/>
  <c r="P2"/>
</calcChain>
</file>

<file path=xl/sharedStrings.xml><?xml version="1.0" encoding="utf-8"?>
<sst xmlns="http://schemas.openxmlformats.org/spreadsheetml/2006/main" count="48" uniqueCount="48">
  <si>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</si>
  <si>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</si>
  <si>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</si>
  <si>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</si>
  <si>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</si>
  <si>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</si>
  <si>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</si>
  <si>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</si>
  <si>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</si>
  <si>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</si>
  <si>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</si>
  <si>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</si>
  <si>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</si>
  <si>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</si>
  <si>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</si>
  <si>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</si>
  <si>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</si>
  <si>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</si>
  <si>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</si>
  <si>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</si>
  <si>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</si>
  <si>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</si>
  <si>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</si>
  <si>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</si>
  <si>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</si>
  <si>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</si>
  <si>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</si>
  <si>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</si>
  <si>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</si>
  <si>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</si>
  <si>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</si>
  <si>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SDP13578</t>
  </si>
  <si>
    <t>Dia Disc Tassel Pendant</t>
  </si>
  <si>
    <t>SDR9342</t>
  </si>
  <si>
    <t>SDB4689</t>
  </si>
  <si>
    <t>Dia Bangle-Labradorite</t>
  </si>
  <si>
    <t>14KYC169</t>
  </si>
  <si>
    <t xml:space="preserve">14k YG Dia Charm Star </t>
  </si>
  <si>
    <t>18RB492</t>
  </si>
  <si>
    <t>18k RG Emerald  Dia Bangle(47mmx58.5mm)</t>
  </si>
  <si>
    <t>18RB493</t>
  </si>
  <si>
    <t>18k RG Pink Sapphire  Dia Bangle (47mmx58.5mm)</t>
  </si>
  <si>
    <t>18WB494</t>
  </si>
  <si>
    <t>18k WG Tanzanite  Dia Bangle (47mmx58.5mm)</t>
  </si>
  <si>
    <t>18YE304</t>
  </si>
  <si>
    <t>18k YG Emerald  8 x6 Octagen Earrings</t>
  </si>
  <si>
    <t>Dia Polki Ring -8.50</t>
  </si>
  <si>
    <t>SIZE 8.50</t>
  </si>
</sst>
</file>

<file path=xl/styles.xml><?xml version="1.0" encoding="utf-8"?>
<styleSheet xmlns="http://schemas.openxmlformats.org/spreadsheetml/2006/main">
  <numFmts count="7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&quot;$&quot;#,##0"/>
  </numFmts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8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8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8"/>
      <name val="Times New Roman"/>
      <family val="1"/>
    </font>
    <font>
      <b/>
      <sz val="16"/>
      <color rgb="FFFF0000"/>
      <name val="Times New Roman"/>
      <family val="1"/>
    </font>
    <font>
      <b/>
      <sz val="2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65" fontId="26" fillId="0" borderId="2" xfId="0" applyNumberFormat="1" applyFont="1" applyBorder="1" applyAlignment="1" applyProtection="1">
      <alignment horizontal="center" vertical="center"/>
      <protection locked="0"/>
    </xf>
    <xf numFmtId="165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>
      <alignment horizontal="center" vertical="center"/>
    </xf>
    <xf numFmtId="166" fontId="18" fillId="0" borderId="2" xfId="0" applyNumberFormat="1" applyFont="1" applyFill="1" applyBorder="1" applyAlignment="1" applyProtection="1">
      <alignment horizontal="center" vertical="center"/>
    </xf>
    <xf numFmtId="166" fontId="15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6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6" fontId="30" fillId="0" borderId="3" xfId="7" applyNumberFormat="1" applyFont="1" applyFill="1" applyBorder="1" applyAlignment="1">
      <alignment horizontal="center" vertical="center"/>
    </xf>
    <xf numFmtId="166" fontId="2" fillId="0" borderId="2" xfId="8" applyNumberFormat="1" applyFont="1" applyFill="1" applyBorder="1" applyAlignment="1">
      <alignment horizontal="center" vertical="center"/>
    </xf>
    <xf numFmtId="164" fontId="31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70" fontId="16" fillId="0" borderId="2" xfId="0" applyNumberFormat="1" applyFont="1" applyFill="1" applyBorder="1" applyAlignment="1">
      <alignment horizontal="center" vertical="center"/>
    </xf>
    <xf numFmtId="168" fontId="28" fillId="5" borderId="2" xfId="0" applyNumberFormat="1" applyFont="1" applyFill="1" applyBorder="1" applyAlignment="1">
      <alignment horizontal="center" vertical="center" wrapText="1"/>
    </xf>
    <xf numFmtId="168" fontId="0" fillId="5" borderId="2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0" fontId="32" fillId="0" borderId="2" xfId="0" applyFont="1" applyFill="1" applyBorder="1" applyAlignment="1" applyProtection="1">
      <alignment horizontal="center" vertical="center" wrapText="1"/>
      <protection locked="0"/>
    </xf>
    <xf numFmtId="166" fontId="3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34" fillId="0" borderId="5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166" fontId="3" fillId="4" borderId="2" xfId="0" applyNumberFormat="1" applyFont="1" applyFill="1" applyBorder="1" applyAlignment="1" applyProtection="1">
      <alignment horizontal="center" vertical="center"/>
    </xf>
    <xf numFmtId="1" fontId="3" fillId="4" borderId="2" xfId="0" applyNumberFormat="1" applyFont="1" applyFill="1" applyBorder="1" applyAlignment="1" applyProtection="1">
      <alignment horizontal="center" vertical="center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Fill="1" applyBorder="1" applyAlignment="1" applyProtection="1">
      <alignment horizontal="center" vertical="center" wrapText="1"/>
      <protection locked="0"/>
    </xf>
    <xf numFmtId="165" fontId="34" fillId="0" borderId="5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2" xfId="0" applyNumberFormat="1" applyFill="1" applyBorder="1" applyAlignment="1" applyProtection="1">
      <alignment horizontal="center" vertical="center"/>
      <protection locked="0"/>
    </xf>
    <xf numFmtId="165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20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4" fontId="25" fillId="0" borderId="2" xfId="0" applyNumberFormat="1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166" fontId="30" fillId="0" borderId="2" xfId="7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165" fontId="25" fillId="2" borderId="2" xfId="0" applyNumberFormat="1" applyFont="1" applyFill="1" applyBorder="1" applyAlignment="1">
      <alignment horizontal="center"/>
    </xf>
    <xf numFmtId="1" fontId="22" fillId="0" borderId="2" xfId="0" applyNumberFormat="1" applyFont="1" applyFill="1" applyBorder="1" applyAlignment="1" applyProtection="1">
      <alignment horizontal="center" vertical="center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4" fontId="7" fillId="0" borderId="5" xfId="0" applyNumberFormat="1" applyFont="1" applyFill="1" applyBorder="1" applyAlignment="1" applyProtection="1">
      <alignment horizontal="center" vertical="center"/>
      <protection locked="0"/>
    </xf>
    <xf numFmtId="4" fontId="32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5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2" xfId="0" applyNumberFormat="1" applyFont="1" applyFill="1" applyBorder="1" applyAlignment="1" applyProtection="1">
      <alignment horizontal="center" vertical="center"/>
    </xf>
    <xf numFmtId="4" fontId="5" fillId="0" borderId="2" xfId="0" applyNumberFormat="1" applyFont="1" applyFill="1" applyBorder="1" applyAlignment="1">
      <alignment horizontal="center" vertical="center" wrapText="1"/>
    </xf>
    <xf numFmtId="1" fontId="16" fillId="0" borderId="2" xfId="0" applyNumberFormat="1" applyFont="1" applyFill="1" applyBorder="1" applyAlignment="1" applyProtection="1">
      <alignment horizontal="center" vertical="center"/>
      <protection locked="0"/>
    </xf>
    <xf numFmtId="4" fontId="33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34" fillId="0" borderId="5" xfId="0" applyNumberFormat="1" applyFont="1" applyFill="1" applyBorder="1" applyAlignment="1" applyProtection="1">
      <alignment horizontal="center" vertical="center" wrapText="1"/>
      <protection locked="0"/>
    </xf>
    <xf numFmtId="4" fontId="0" fillId="0" borderId="2" xfId="0" applyNumberFormat="1" applyFill="1" applyBorder="1" applyAlignment="1">
      <alignment horizontal="center" vertical="center"/>
    </xf>
    <xf numFmtId="4" fontId="18" fillId="0" borderId="2" xfId="0" applyNumberFormat="1" applyFont="1" applyFill="1" applyBorder="1" applyAlignment="1" applyProtection="1">
      <alignment horizontal="center" vertical="center"/>
    </xf>
    <xf numFmtId="4" fontId="1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4" fillId="0" borderId="5" xfId="0" applyNumberFormat="1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Fill="1"/>
    <xf numFmtId="165" fontId="35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2" xfId="0" applyNumberFormat="1" applyFont="1" applyFill="1" applyBorder="1" applyAlignment="1" applyProtection="1">
      <alignment horizontal="center" vertical="center"/>
    </xf>
    <xf numFmtId="165" fontId="7" fillId="0" borderId="5" xfId="0" applyNumberFormat="1" applyFont="1" applyFill="1" applyBorder="1" applyAlignment="1" applyProtection="1">
      <alignment horizontal="center" vertical="center"/>
      <protection locked="0"/>
    </xf>
    <xf numFmtId="165" fontId="14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4" fontId="36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37" fillId="0" borderId="2" xfId="0" applyNumberFormat="1" applyFont="1" applyFill="1" applyBorder="1" applyAlignment="1" applyProtection="1">
      <alignment horizontal="center" vertical="center" wrapText="1"/>
      <protection locked="0"/>
    </xf>
    <xf numFmtId="3" fontId="5" fillId="0" borderId="2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65"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61%20GOLD%20ORDER%20SHEET%2023RD%20juLY%20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12"/>
  <sheetViews>
    <sheetView tabSelected="1" workbookViewId="0">
      <pane ySplit="1" topLeftCell="A2" activePane="bottomLeft" state="frozen"/>
      <selection pane="bottomLeft" activeCell="N5" sqref="N5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8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>
      <c r="A2" s="43">
        <v>161</v>
      </c>
      <c r="B2" s="122"/>
      <c r="C2" s="139" t="s">
        <v>31</v>
      </c>
      <c r="D2" s="152"/>
      <c r="E2" s="140" t="s">
        <v>32</v>
      </c>
      <c r="F2" s="141"/>
      <c r="G2" s="142">
        <v>4.9000000000000004</v>
      </c>
      <c r="H2" s="142">
        <v>0.875</v>
      </c>
      <c r="I2" s="143">
        <v>0</v>
      </c>
      <c r="J2" s="143">
        <v>0</v>
      </c>
      <c r="K2" s="142">
        <v>192</v>
      </c>
      <c r="L2" s="48">
        <v>283</v>
      </c>
      <c r="M2" s="144">
        <v>2</v>
      </c>
      <c r="N2" s="161">
        <v>8</v>
      </c>
      <c r="P2" s="30">
        <f t="shared" ref="P2:P72" si="0">ROUND(L2,0)</f>
        <v>283</v>
      </c>
      <c r="R2" s="117"/>
    </row>
    <row r="3" spans="1:18" ht="66" customHeight="1">
      <c r="A3" s="43">
        <v>161</v>
      </c>
      <c r="B3" s="113"/>
      <c r="C3" s="145" t="s">
        <v>33</v>
      </c>
      <c r="D3" s="152"/>
      <c r="E3" s="146" t="s">
        <v>46</v>
      </c>
      <c r="F3" s="147" t="s">
        <v>47</v>
      </c>
      <c r="G3" s="142">
        <v>8.08</v>
      </c>
      <c r="H3" s="142">
        <v>0.88500000000000001</v>
      </c>
      <c r="I3" s="148">
        <v>0</v>
      </c>
      <c r="J3" s="149">
        <v>0</v>
      </c>
      <c r="K3" s="142">
        <v>160</v>
      </c>
      <c r="L3" s="49">
        <v>292</v>
      </c>
      <c r="M3" s="144">
        <v>1</v>
      </c>
      <c r="N3" s="161">
        <v>6</v>
      </c>
      <c r="P3" s="30">
        <f t="shared" si="0"/>
        <v>292</v>
      </c>
      <c r="R3" s="117"/>
    </row>
    <row r="4" spans="1:18" ht="66" customHeight="1">
      <c r="A4" s="43">
        <v>161</v>
      </c>
      <c r="B4" s="122"/>
      <c r="C4" s="145" t="s">
        <v>34</v>
      </c>
      <c r="D4" s="152"/>
      <c r="E4" s="150" t="s">
        <v>35</v>
      </c>
      <c r="F4" s="151"/>
      <c r="G4" s="142">
        <v>20.149999999999999</v>
      </c>
      <c r="H4" s="142">
        <v>1.29</v>
      </c>
      <c r="I4" s="148">
        <v>24.15</v>
      </c>
      <c r="J4" s="149">
        <v>0</v>
      </c>
      <c r="K4" s="142">
        <v>272</v>
      </c>
      <c r="L4" s="49">
        <v>579</v>
      </c>
      <c r="M4" s="144">
        <v>1</v>
      </c>
      <c r="N4" s="161">
        <v>4</v>
      </c>
      <c r="P4" s="30">
        <f t="shared" si="0"/>
        <v>579</v>
      </c>
      <c r="R4" s="117"/>
    </row>
    <row r="5" spans="1:18" ht="66" customHeight="1">
      <c r="A5" s="43">
        <v>161</v>
      </c>
      <c r="B5" s="113"/>
      <c r="C5" s="128" t="s">
        <v>36</v>
      </c>
      <c r="D5" s="159"/>
      <c r="E5" s="153" t="s">
        <v>37</v>
      </c>
      <c r="F5" s="118"/>
      <c r="G5" s="154">
        <v>0.39300000000000002</v>
      </c>
      <c r="H5" s="115">
        <v>7.0000000000000007E-2</v>
      </c>
      <c r="I5" s="91">
        <v>0</v>
      </c>
      <c r="J5" s="99">
        <v>0.379</v>
      </c>
      <c r="K5" s="116">
        <v>11</v>
      </c>
      <c r="L5" s="49">
        <v>111</v>
      </c>
      <c r="M5" s="117">
        <v>8</v>
      </c>
      <c r="N5" s="44">
        <v>5810</v>
      </c>
      <c r="P5" s="30">
        <f t="shared" si="0"/>
        <v>111</v>
      </c>
      <c r="R5" s="117"/>
    </row>
    <row r="6" spans="1:18" ht="66" customHeight="1">
      <c r="A6" s="43">
        <v>161</v>
      </c>
      <c r="B6" s="113"/>
      <c r="C6" s="128" t="s">
        <v>38</v>
      </c>
      <c r="D6" s="159"/>
      <c r="E6" s="125" t="s">
        <v>39</v>
      </c>
      <c r="F6" s="118"/>
      <c r="G6" s="154">
        <v>25.318000000000001</v>
      </c>
      <c r="H6" s="115">
        <v>0.26</v>
      </c>
      <c r="I6" s="91">
        <v>5.68</v>
      </c>
      <c r="J6" s="99">
        <v>24.130000000000003</v>
      </c>
      <c r="K6" s="116">
        <v>8</v>
      </c>
      <c r="L6" s="49">
        <v>6266</v>
      </c>
      <c r="M6" s="117">
        <v>1</v>
      </c>
      <c r="N6" s="44">
        <v>754</v>
      </c>
      <c r="P6" s="30">
        <f t="shared" si="0"/>
        <v>6266</v>
      </c>
      <c r="R6" s="117"/>
    </row>
    <row r="7" spans="1:18" ht="66" customHeight="1">
      <c r="A7" s="43">
        <v>161</v>
      </c>
      <c r="B7" s="113"/>
      <c r="C7" s="155" t="s">
        <v>40</v>
      </c>
      <c r="D7" s="159"/>
      <c r="E7" s="158" t="s">
        <v>41</v>
      </c>
      <c r="F7" s="118"/>
      <c r="G7" s="154">
        <v>25.568999999999999</v>
      </c>
      <c r="H7" s="115">
        <v>0.26</v>
      </c>
      <c r="I7" s="115">
        <v>4.9400000000000004</v>
      </c>
      <c r="J7" s="99">
        <v>24.529</v>
      </c>
      <c r="K7" s="116">
        <v>8</v>
      </c>
      <c r="L7" s="49">
        <v>4994</v>
      </c>
      <c r="M7" s="117">
        <v>1</v>
      </c>
      <c r="N7" s="44">
        <v>754</v>
      </c>
      <c r="P7" s="30">
        <f t="shared" si="0"/>
        <v>4994</v>
      </c>
      <c r="R7" s="117"/>
    </row>
    <row r="8" spans="1:18" ht="66" customHeight="1">
      <c r="A8" s="43">
        <v>161</v>
      </c>
      <c r="B8" s="119"/>
      <c r="C8" s="156" t="s">
        <v>42</v>
      </c>
      <c r="D8" s="160"/>
      <c r="E8" s="158" t="s">
        <v>43</v>
      </c>
      <c r="F8" s="118"/>
      <c r="G8" s="157">
        <v>26.216999999999999</v>
      </c>
      <c r="H8" s="120">
        <v>0.26</v>
      </c>
      <c r="I8" s="91">
        <v>6.41</v>
      </c>
      <c r="J8" s="99">
        <v>24.882999999999999</v>
      </c>
      <c r="K8" s="121">
        <v>8</v>
      </c>
      <c r="L8" s="49">
        <v>6110</v>
      </c>
      <c r="M8" s="117">
        <v>1</v>
      </c>
      <c r="N8" s="44">
        <v>754</v>
      </c>
      <c r="P8" s="30">
        <f t="shared" si="0"/>
        <v>6110</v>
      </c>
      <c r="R8" s="117"/>
    </row>
    <row r="9" spans="1:18" ht="66" customHeight="1">
      <c r="A9" s="43">
        <v>161</v>
      </c>
      <c r="B9" s="119"/>
      <c r="C9" s="128" t="s">
        <v>44</v>
      </c>
      <c r="D9" s="159"/>
      <c r="E9" s="114" t="s">
        <v>45</v>
      </c>
      <c r="F9" s="118"/>
      <c r="G9" s="157">
        <v>9.4629999999999992</v>
      </c>
      <c r="H9" s="120">
        <v>3.46</v>
      </c>
      <c r="I9" s="91">
        <v>3.39</v>
      </c>
      <c r="J9" s="99">
        <v>8.093</v>
      </c>
      <c r="K9" s="121">
        <v>408</v>
      </c>
      <c r="L9" s="49">
        <v>8335</v>
      </c>
      <c r="M9" s="117">
        <v>1</v>
      </c>
      <c r="N9" s="44">
        <v>751</v>
      </c>
      <c r="P9" s="30">
        <f t="shared" si="0"/>
        <v>8335</v>
      </c>
      <c r="R9" s="117"/>
    </row>
    <row r="10" spans="1:18" ht="66" customHeight="1">
      <c r="A10" s="43"/>
      <c r="B10" s="113"/>
      <c r="C10" s="124"/>
      <c r="D10" s="134"/>
      <c r="E10" s="123"/>
      <c r="F10" s="126"/>
      <c r="G10" s="100"/>
      <c r="H10" s="91"/>
      <c r="I10" s="91"/>
      <c r="J10" s="99"/>
      <c r="K10" s="116"/>
      <c r="L10" s="49"/>
      <c r="M10" s="117"/>
      <c r="N10" s="44"/>
      <c r="P10" s="30">
        <f t="shared" si="0"/>
        <v>0</v>
      </c>
      <c r="R10" s="117"/>
    </row>
    <row r="11" spans="1:18" ht="66" customHeight="1">
      <c r="A11" s="43"/>
      <c r="B11" s="127"/>
      <c r="C11" s="124"/>
      <c r="D11" s="66"/>
      <c r="E11" s="123"/>
      <c r="F11" s="126"/>
      <c r="G11" s="91"/>
      <c r="H11" s="91"/>
      <c r="I11" s="91"/>
      <c r="J11" s="99"/>
      <c r="K11" s="116"/>
      <c r="L11" s="49"/>
      <c r="M11" s="117"/>
      <c r="N11" s="44"/>
      <c r="P11" s="30">
        <f t="shared" si="0"/>
        <v>0</v>
      </c>
      <c r="R11" s="117"/>
    </row>
    <row r="12" spans="1:18" ht="66" customHeight="1">
      <c r="A12" s="43"/>
      <c r="B12" s="113"/>
      <c r="C12" s="128"/>
      <c r="D12" s="65"/>
      <c r="E12" s="125"/>
      <c r="F12" s="118"/>
      <c r="G12" s="91"/>
      <c r="H12" s="91"/>
      <c r="I12" s="91"/>
      <c r="J12" s="99"/>
      <c r="K12" s="116"/>
      <c r="L12" s="49"/>
      <c r="M12" s="117"/>
      <c r="N12" s="44"/>
      <c r="P12" s="30">
        <f t="shared" si="0"/>
        <v>0</v>
      </c>
      <c r="R12" s="117"/>
    </row>
    <row r="13" spans="1:18" ht="66" customHeight="1">
      <c r="A13" s="43"/>
      <c r="B13" s="5"/>
      <c r="C13" s="89"/>
      <c r="D13" s="122"/>
      <c r="E13" s="5"/>
      <c r="F13" s="88"/>
      <c r="G13" s="91"/>
      <c r="H13" s="91"/>
      <c r="I13" s="91"/>
      <c r="J13" s="99"/>
      <c r="K13" s="116"/>
      <c r="L13" s="49"/>
      <c r="M13" s="37"/>
      <c r="N13" s="44"/>
      <c r="P13" s="30">
        <f t="shared" si="0"/>
        <v>0</v>
      </c>
      <c r="R13" s="53"/>
    </row>
    <row r="14" spans="1:18" ht="66" customHeight="1">
      <c r="A14" s="43"/>
      <c r="B14" s="5"/>
      <c r="C14" s="89"/>
      <c r="D14" s="66"/>
      <c r="E14" s="5"/>
      <c r="F14" s="88"/>
      <c r="G14" s="91"/>
      <c r="H14" s="91"/>
      <c r="I14" s="91"/>
      <c r="J14" s="99"/>
      <c r="K14" s="116"/>
      <c r="L14" s="49"/>
      <c r="M14" s="37"/>
      <c r="N14" s="44"/>
      <c r="P14" s="30">
        <f t="shared" si="0"/>
        <v>0</v>
      </c>
    </row>
    <row r="15" spans="1:18" ht="66" customHeight="1">
      <c r="A15" s="43"/>
      <c r="B15" s="5"/>
      <c r="C15" s="89"/>
      <c r="D15" s="63"/>
      <c r="E15" s="5"/>
      <c r="F15" s="88"/>
      <c r="G15" s="91"/>
      <c r="H15" s="91"/>
      <c r="I15" s="91"/>
      <c r="J15" s="99"/>
      <c r="K15" s="116"/>
      <c r="L15" s="49"/>
      <c r="M15" s="37"/>
      <c r="N15" s="44"/>
      <c r="P15" s="30">
        <f t="shared" si="0"/>
        <v>0</v>
      </c>
    </row>
    <row r="16" spans="1:18" ht="66" customHeight="1">
      <c r="A16" s="43"/>
      <c r="B16" s="5"/>
      <c r="C16" s="37"/>
      <c r="D16" s="65"/>
      <c r="E16" s="5"/>
      <c r="F16" s="88"/>
      <c r="G16" s="91"/>
      <c r="H16" s="91"/>
      <c r="I16" s="91"/>
      <c r="J16" s="99"/>
      <c r="K16" s="116"/>
      <c r="L16" s="49"/>
      <c r="M16" s="37"/>
      <c r="N16" s="44"/>
      <c r="P16" s="30">
        <f t="shared" si="0"/>
        <v>0</v>
      </c>
    </row>
    <row r="17" spans="1:16" ht="66" customHeight="1">
      <c r="A17" s="43"/>
      <c r="B17" s="5"/>
      <c r="C17" s="89"/>
      <c r="D17" s="98"/>
      <c r="E17" s="5"/>
      <c r="F17" s="88"/>
      <c r="G17" s="91"/>
      <c r="H17" s="91"/>
      <c r="I17" s="91"/>
      <c r="J17" s="99"/>
      <c r="K17" s="116"/>
      <c r="L17" s="49"/>
      <c r="M17" s="37"/>
      <c r="N17" s="44"/>
      <c r="P17" s="30">
        <f t="shared" si="0"/>
        <v>0</v>
      </c>
    </row>
    <row r="18" spans="1:16" ht="66" customHeight="1">
      <c r="A18" s="43"/>
      <c r="B18" s="5"/>
      <c r="C18" s="37"/>
      <c r="D18" s="62"/>
      <c r="E18" s="5"/>
      <c r="F18" s="90"/>
      <c r="G18" s="91"/>
      <c r="H18" s="91"/>
      <c r="I18" s="91"/>
      <c r="J18" s="99"/>
      <c r="K18" s="116"/>
      <c r="L18" s="49"/>
      <c r="M18" s="37"/>
      <c r="N18" s="44"/>
      <c r="P18" s="30">
        <f t="shared" si="0"/>
        <v>0</v>
      </c>
    </row>
    <row r="19" spans="1:16" ht="66" customHeight="1">
      <c r="A19" s="43"/>
      <c r="B19" s="5"/>
      <c r="C19" s="37"/>
      <c r="D19" s="64"/>
      <c r="E19" s="5"/>
      <c r="F19" s="90"/>
      <c r="G19" s="91"/>
      <c r="H19" s="91"/>
      <c r="I19" s="91"/>
      <c r="J19" s="99"/>
      <c r="K19" s="116"/>
      <c r="L19" s="49"/>
      <c r="M19" s="37"/>
      <c r="N19" s="44"/>
      <c r="P19" s="30">
        <f t="shared" si="0"/>
        <v>0</v>
      </c>
    </row>
    <row r="20" spans="1:16" ht="66" customHeight="1">
      <c r="A20" s="43"/>
      <c r="B20" s="5"/>
      <c r="C20" s="37"/>
      <c r="D20" s="64"/>
      <c r="E20" s="5"/>
      <c r="F20" s="88"/>
      <c r="G20" s="92"/>
      <c r="H20" s="92"/>
      <c r="I20" s="92"/>
      <c r="J20" s="92"/>
      <c r="K20" s="137"/>
      <c r="L20" s="48"/>
      <c r="M20" s="37"/>
      <c r="N20" s="44"/>
      <c r="P20" s="30">
        <f t="shared" si="0"/>
        <v>0</v>
      </c>
    </row>
    <row r="21" spans="1:16" ht="66" customHeight="1">
      <c r="A21" s="43"/>
      <c r="B21" s="5"/>
      <c r="C21" s="89"/>
      <c r="D21" s="65"/>
      <c r="E21" s="5"/>
      <c r="F21" s="90"/>
      <c r="G21" s="91"/>
      <c r="H21" s="91"/>
      <c r="I21" s="91"/>
      <c r="J21" s="99"/>
      <c r="K21" s="137"/>
      <c r="L21" s="49"/>
      <c r="M21" s="37"/>
      <c r="N21" s="44"/>
      <c r="P21" s="30">
        <f t="shared" si="0"/>
        <v>0</v>
      </c>
    </row>
    <row r="22" spans="1:16" ht="66" customHeight="1">
      <c r="A22" s="43"/>
      <c r="B22" s="5"/>
      <c r="C22" s="89"/>
      <c r="D22" s="62"/>
      <c r="E22" s="5"/>
      <c r="F22" s="90"/>
      <c r="G22" s="91"/>
      <c r="H22" s="91"/>
      <c r="I22" s="91"/>
      <c r="J22" s="99"/>
      <c r="K22" s="137"/>
      <c r="L22" s="49"/>
      <c r="M22" s="37"/>
      <c r="N22" s="44"/>
      <c r="P22" s="30">
        <f t="shared" si="0"/>
        <v>0</v>
      </c>
    </row>
    <row r="23" spans="1:16" ht="66" customHeight="1">
      <c r="A23" s="43"/>
      <c r="B23" s="5"/>
      <c r="C23" s="37"/>
      <c r="D23" s="65"/>
      <c r="E23" s="5"/>
      <c r="F23" s="90"/>
      <c r="G23" s="91"/>
      <c r="H23" s="91"/>
      <c r="I23" s="91"/>
      <c r="J23" s="99"/>
      <c r="K23" s="137"/>
      <c r="L23" s="49"/>
      <c r="M23" s="37"/>
      <c r="N23" s="44"/>
      <c r="P23" s="30">
        <f t="shared" si="0"/>
        <v>0</v>
      </c>
    </row>
    <row r="24" spans="1:16" ht="66" customHeight="1">
      <c r="A24" s="43"/>
      <c r="B24" s="5"/>
      <c r="C24" s="89"/>
      <c r="D24" s="61"/>
      <c r="E24" s="5"/>
      <c r="F24" s="129"/>
      <c r="G24" s="91"/>
      <c r="H24" s="91"/>
      <c r="I24" s="91"/>
      <c r="J24" s="99"/>
      <c r="K24" s="137"/>
      <c r="L24" s="49"/>
      <c r="M24" s="37"/>
      <c r="N24" s="44"/>
      <c r="P24" s="30">
        <f t="shared" si="0"/>
        <v>0</v>
      </c>
    </row>
    <row r="25" spans="1:16" ht="66" customHeight="1">
      <c r="A25" s="43"/>
      <c r="B25" s="5"/>
      <c r="C25" s="89"/>
      <c r="D25" s="62"/>
      <c r="E25" s="5"/>
      <c r="F25" s="88"/>
      <c r="G25" s="91"/>
      <c r="H25" s="91"/>
      <c r="I25" s="91"/>
      <c r="J25" s="99"/>
      <c r="K25" s="137"/>
      <c r="L25" s="49"/>
      <c r="M25" s="37"/>
      <c r="N25" s="44"/>
      <c r="P25" s="30">
        <f t="shared" si="0"/>
        <v>0</v>
      </c>
    </row>
    <row r="26" spans="1:16" ht="66" customHeight="1">
      <c r="A26" s="43"/>
      <c r="B26" s="5"/>
      <c r="C26" s="89"/>
      <c r="D26" s="62"/>
      <c r="E26" s="5"/>
      <c r="F26" s="88"/>
      <c r="G26" s="91"/>
      <c r="H26" s="91"/>
      <c r="I26" s="91"/>
      <c r="J26" s="99"/>
      <c r="K26" s="137"/>
      <c r="L26" s="49"/>
      <c r="M26" s="37"/>
      <c r="N26" s="44"/>
      <c r="P26" s="30">
        <f t="shared" si="0"/>
        <v>0</v>
      </c>
    </row>
    <row r="27" spans="1:16" ht="66" customHeight="1">
      <c r="A27" s="43"/>
      <c r="B27" s="5"/>
      <c r="C27" s="37"/>
      <c r="D27" s="65"/>
      <c r="E27" s="5"/>
      <c r="F27" s="88"/>
      <c r="G27" s="91"/>
      <c r="H27" s="91"/>
      <c r="I27" s="91"/>
      <c r="J27" s="99"/>
      <c r="K27" s="137"/>
      <c r="L27" s="49"/>
      <c r="M27" s="37"/>
      <c r="N27" s="44"/>
      <c r="P27" s="30">
        <f t="shared" si="0"/>
        <v>0</v>
      </c>
    </row>
    <row r="28" spans="1:16" ht="66" customHeight="1">
      <c r="A28" s="43"/>
      <c r="B28" s="52"/>
      <c r="C28" s="46"/>
      <c r="D28" s="65"/>
      <c r="E28" s="52"/>
      <c r="F28" s="74"/>
      <c r="G28" s="91"/>
      <c r="H28" s="91"/>
      <c r="I28" s="91"/>
      <c r="J28" s="99"/>
      <c r="K28" s="138"/>
      <c r="L28" s="49"/>
      <c r="M28" s="45"/>
      <c r="N28" s="44"/>
      <c r="P28" s="30">
        <f t="shared" si="0"/>
        <v>0</v>
      </c>
    </row>
    <row r="29" spans="1:16" ht="66" customHeight="1">
      <c r="A29" s="43"/>
      <c r="B29" s="52"/>
      <c r="C29" s="46"/>
      <c r="D29" s="62"/>
      <c r="E29" s="52"/>
      <c r="F29" s="73"/>
      <c r="G29" s="91"/>
      <c r="H29" s="91"/>
      <c r="I29" s="91"/>
      <c r="J29" s="99"/>
      <c r="K29" s="137"/>
      <c r="L29" s="49"/>
      <c r="M29" s="45"/>
      <c r="N29" s="44"/>
      <c r="P29" s="30">
        <f t="shared" si="0"/>
        <v>0</v>
      </c>
    </row>
    <row r="30" spans="1:16" ht="66" customHeight="1">
      <c r="A30" s="43"/>
      <c r="B30" s="52"/>
      <c r="C30" s="56"/>
      <c r="D30" s="61"/>
      <c r="E30" s="52"/>
      <c r="F30" s="74"/>
      <c r="G30" s="91"/>
      <c r="H30" s="91"/>
      <c r="I30" s="91"/>
      <c r="J30" s="99"/>
      <c r="K30" s="138"/>
      <c r="L30" s="49"/>
      <c r="M30" s="45"/>
      <c r="N30" s="44"/>
      <c r="P30" s="30">
        <f t="shared" si="0"/>
        <v>0</v>
      </c>
    </row>
    <row r="31" spans="1:16" ht="66" customHeight="1">
      <c r="A31" s="43"/>
      <c r="B31" s="52"/>
      <c r="C31" s="56"/>
      <c r="D31" s="65"/>
      <c r="E31" s="52"/>
      <c r="F31" s="70"/>
      <c r="G31" s="91"/>
      <c r="H31" s="91"/>
      <c r="I31" s="91"/>
      <c r="J31" s="99"/>
      <c r="K31" s="137"/>
      <c r="L31" s="49"/>
      <c r="M31" s="45"/>
      <c r="N31" s="44"/>
      <c r="P31" s="30">
        <f t="shared" si="0"/>
        <v>0</v>
      </c>
    </row>
    <row r="32" spans="1:16" ht="66" customHeight="1">
      <c r="A32" s="43"/>
      <c r="B32" s="52"/>
      <c r="C32" s="56"/>
      <c r="D32" s="62"/>
      <c r="E32" s="52"/>
      <c r="F32" s="132"/>
      <c r="G32" s="91"/>
      <c r="H32" s="91"/>
      <c r="I32" s="91"/>
      <c r="J32" s="99"/>
      <c r="K32" s="137"/>
      <c r="L32" s="49"/>
      <c r="M32" s="45"/>
      <c r="N32" s="44"/>
      <c r="P32" s="30">
        <f t="shared" si="0"/>
        <v>0</v>
      </c>
    </row>
    <row r="33" spans="1:16" ht="66" customHeight="1">
      <c r="A33" s="43"/>
      <c r="B33" s="52"/>
      <c r="C33" s="46"/>
      <c r="D33" s="62"/>
      <c r="E33" s="52"/>
      <c r="F33" s="70"/>
      <c r="G33" s="100"/>
      <c r="H33" s="91"/>
      <c r="I33" s="91"/>
      <c r="J33" s="99"/>
      <c r="K33" s="137"/>
      <c r="L33" s="49"/>
      <c r="M33" s="45"/>
      <c r="N33" s="44"/>
      <c r="P33" s="30">
        <f t="shared" si="0"/>
        <v>0</v>
      </c>
    </row>
    <row r="34" spans="1:16" ht="66" customHeight="1">
      <c r="A34" s="43"/>
      <c r="B34" s="52"/>
      <c r="C34" s="56"/>
      <c r="D34" s="62"/>
      <c r="E34" s="52"/>
      <c r="F34" s="74"/>
      <c r="G34" s="91"/>
      <c r="H34" s="91"/>
      <c r="I34" s="91"/>
      <c r="J34" s="99"/>
      <c r="K34" s="137"/>
      <c r="L34" s="49"/>
      <c r="M34" s="45"/>
      <c r="N34" s="44"/>
      <c r="P34" s="30">
        <f t="shared" si="0"/>
        <v>0</v>
      </c>
    </row>
    <row r="35" spans="1:16" ht="66" customHeight="1">
      <c r="A35" s="43"/>
      <c r="B35" s="52"/>
      <c r="C35" s="56"/>
      <c r="D35" s="62"/>
      <c r="E35" s="52"/>
      <c r="F35" s="70"/>
      <c r="G35" s="91"/>
      <c r="H35" s="91"/>
      <c r="I35" s="91"/>
      <c r="J35" s="99"/>
      <c r="K35" s="138"/>
      <c r="L35" s="49"/>
      <c r="M35" s="45"/>
      <c r="N35" s="44"/>
      <c r="P35" s="30">
        <f t="shared" si="0"/>
        <v>0</v>
      </c>
    </row>
    <row r="36" spans="1:16" ht="66" customHeight="1">
      <c r="A36" s="43"/>
      <c r="B36" s="52"/>
      <c r="C36" s="56"/>
      <c r="D36" s="62"/>
      <c r="E36" s="52"/>
      <c r="F36" s="70"/>
      <c r="G36" s="91"/>
      <c r="H36" s="91"/>
      <c r="I36" s="91"/>
      <c r="J36" s="99"/>
      <c r="K36" s="137"/>
      <c r="L36" s="49"/>
      <c r="M36" s="45"/>
      <c r="N36" s="44"/>
      <c r="P36" s="30">
        <f t="shared" si="0"/>
        <v>0</v>
      </c>
    </row>
    <row r="37" spans="1:16" ht="66" customHeight="1">
      <c r="A37" s="43"/>
      <c r="B37" s="52"/>
      <c r="C37" s="56"/>
      <c r="D37" s="62"/>
      <c r="E37" s="52"/>
      <c r="F37" s="70"/>
      <c r="G37" s="91"/>
      <c r="H37" s="91"/>
      <c r="I37" s="91"/>
      <c r="J37" s="99"/>
      <c r="K37" s="138"/>
      <c r="L37" s="49"/>
      <c r="M37" s="45"/>
      <c r="N37" s="44"/>
      <c r="P37" s="30">
        <f t="shared" si="0"/>
        <v>0</v>
      </c>
    </row>
    <row r="38" spans="1:16" ht="66" customHeight="1">
      <c r="A38" s="43"/>
      <c r="B38" s="52"/>
      <c r="C38" s="56"/>
      <c r="D38" s="65"/>
      <c r="E38" s="52"/>
      <c r="F38" s="74"/>
      <c r="G38" s="91"/>
      <c r="H38" s="91"/>
      <c r="I38" s="91"/>
      <c r="J38" s="99"/>
      <c r="K38" s="137"/>
      <c r="L38" s="49"/>
      <c r="M38" s="45"/>
      <c r="N38" s="44"/>
      <c r="P38" s="30">
        <f t="shared" si="0"/>
        <v>0</v>
      </c>
    </row>
    <row r="39" spans="1:16" ht="66" customHeight="1">
      <c r="A39" s="43"/>
      <c r="B39" s="52"/>
      <c r="C39" s="46"/>
      <c r="D39" s="62"/>
      <c r="E39" s="52"/>
      <c r="F39" s="70"/>
      <c r="G39" s="91"/>
      <c r="H39" s="91"/>
      <c r="I39" s="91"/>
      <c r="J39" s="99"/>
      <c r="K39" s="137"/>
      <c r="L39" s="49"/>
      <c r="M39" s="45"/>
      <c r="N39" s="44"/>
      <c r="P39" s="30">
        <f t="shared" si="0"/>
        <v>0</v>
      </c>
    </row>
    <row r="40" spans="1:16" ht="66" customHeight="1">
      <c r="A40" s="43"/>
      <c r="B40" s="5"/>
      <c r="C40" s="46"/>
      <c r="D40" s="62"/>
      <c r="E40" s="5"/>
      <c r="F40" s="70"/>
      <c r="G40" s="91"/>
      <c r="H40" s="91"/>
      <c r="I40" s="91"/>
      <c r="J40" s="99"/>
      <c r="K40" s="137"/>
      <c r="L40" s="49"/>
      <c r="M40" s="45"/>
      <c r="N40" s="44"/>
      <c r="P40" s="30">
        <f t="shared" si="0"/>
        <v>0</v>
      </c>
    </row>
    <row r="41" spans="1:16" ht="66" customHeight="1">
      <c r="A41" s="43"/>
      <c r="B41" s="52"/>
      <c r="C41" s="69"/>
      <c r="D41" s="65"/>
      <c r="E41" s="52"/>
      <c r="F41" s="70"/>
      <c r="G41" s="91"/>
      <c r="H41" s="91"/>
      <c r="I41" s="91"/>
      <c r="J41" s="99"/>
      <c r="K41" s="137"/>
      <c r="L41" s="49"/>
      <c r="M41" s="45"/>
      <c r="N41" s="44"/>
      <c r="P41" s="30">
        <f t="shared" si="0"/>
        <v>0</v>
      </c>
    </row>
    <row r="42" spans="1:16" ht="66" customHeight="1">
      <c r="A42" s="43"/>
      <c r="B42" s="52"/>
      <c r="C42" s="69"/>
      <c r="D42" s="83"/>
      <c r="E42" s="52"/>
      <c r="F42" s="73"/>
      <c r="G42" s="91"/>
      <c r="H42" s="91"/>
      <c r="I42" s="91"/>
      <c r="J42" s="99"/>
      <c r="K42" s="137"/>
      <c r="L42" s="49"/>
      <c r="M42" s="45"/>
      <c r="N42" s="44"/>
      <c r="P42" s="30">
        <f t="shared" si="0"/>
        <v>0</v>
      </c>
    </row>
    <row r="43" spans="1:16" ht="66" customHeight="1">
      <c r="A43" s="43"/>
      <c r="B43" s="52"/>
      <c r="C43" s="69"/>
      <c r="D43" s="81"/>
      <c r="E43" s="52"/>
      <c r="F43" s="42"/>
      <c r="G43" s="23"/>
      <c r="H43" s="23"/>
      <c r="I43" s="23"/>
      <c r="J43" s="23"/>
      <c r="K43" s="53"/>
      <c r="L43" s="3"/>
      <c r="M43" s="39"/>
      <c r="N43" s="44"/>
      <c r="P43" s="30">
        <f t="shared" si="0"/>
        <v>0</v>
      </c>
    </row>
    <row r="44" spans="1:16" ht="66" customHeight="1">
      <c r="A44" s="43"/>
      <c r="B44" s="52"/>
      <c r="C44" s="69"/>
      <c r="D44" s="83"/>
      <c r="E44" s="52"/>
      <c r="F44" s="42"/>
      <c r="G44" s="23"/>
      <c r="H44" s="23"/>
      <c r="I44" s="23"/>
      <c r="J44" s="23"/>
      <c r="K44" s="53"/>
      <c r="L44" s="3"/>
      <c r="M44" s="37"/>
      <c r="N44" s="44"/>
      <c r="P44" s="30">
        <f t="shared" si="0"/>
        <v>0</v>
      </c>
    </row>
    <row r="45" spans="1:16" ht="66" customHeight="1">
      <c r="A45" s="43"/>
      <c r="B45" s="52"/>
      <c r="C45" s="69"/>
      <c r="D45" s="81"/>
      <c r="E45" s="52"/>
      <c r="F45" s="42"/>
      <c r="G45" s="23"/>
      <c r="H45" s="23"/>
      <c r="I45" s="23"/>
      <c r="J45" s="23"/>
      <c r="K45" s="53"/>
      <c r="L45" s="3"/>
      <c r="M45" s="37"/>
      <c r="N45" s="44"/>
      <c r="P45" s="30">
        <f t="shared" si="0"/>
        <v>0</v>
      </c>
    </row>
    <row r="46" spans="1:16" ht="66" customHeight="1">
      <c r="A46" s="43"/>
      <c r="B46" s="52"/>
      <c r="C46" s="69"/>
      <c r="D46" s="135"/>
      <c r="E46" s="52"/>
      <c r="F46" s="42"/>
      <c r="G46" s="23"/>
      <c r="H46" s="23"/>
      <c r="I46" s="23"/>
      <c r="J46" s="23"/>
      <c r="K46" s="53"/>
      <c r="L46" s="3"/>
      <c r="M46" s="37"/>
      <c r="N46" s="44"/>
      <c r="P46" s="30">
        <f t="shared" si="0"/>
        <v>0</v>
      </c>
    </row>
    <row r="47" spans="1:16" ht="66" customHeight="1">
      <c r="A47" s="43"/>
      <c r="B47" s="52"/>
      <c r="C47" s="69"/>
      <c r="D47" s="136"/>
      <c r="E47" s="52"/>
      <c r="F47" s="40"/>
      <c r="G47" s="23"/>
      <c r="H47" s="23"/>
      <c r="I47" s="23"/>
      <c r="J47" s="23"/>
      <c r="K47" s="53"/>
      <c r="L47" s="3"/>
      <c r="M47" s="39"/>
      <c r="N47" s="44"/>
      <c r="P47" s="30">
        <f t="shared" si="0"/>
        <v>0</v>
      </c>
    </row>
    <row r="48" spans="1:16" ht="66" customHeight="1">
      <c r="A48" s="43"/>
      <c r="B48" s="52"/>
      <c r="C48" s="78"/>
      <c r="D48" s="83"/>
      <c r="E48" s="96"/>
      <c r="F48" s="41"/>
      <c r="G48" s="23"/>
      <c r="H48" s="23"/>
      <c r="I48" s="23"/>
      <c r="J48" s="23"/>
      <c r="K48" s="53"/>
      <c r="L48" s="3"/>
      <c r="M48" s="39"/>
      <c r="N48" s="44"/>
      <c r="P48" s="30">
        <f t="shared" si="0"/>
        <v>0</v>
      </c>
    </row>
    <row r="49" spans="1:16" ht="66" customHeight="1">
      <c r="A49" s="43"/>
      <c r="B49" s="52"/>
      <c r="C49" s="93"/>
      <c r="D49" s="65"/>
      <c r="E49" s="97"/>
      <c r="F49" s="40"/>
      <c r="G49" s="23"/>
      <c r="H49" s="23"/>
      <c r="I49" s="23"/>
      <c r="J49" s="23"/>
      <c r="K49" s="53"/>
      <c r="L49" s="3"/>
      <c r="M49" s="39"/>
      <c r="N49" s="44"/>
      <c r="P49" s="30">
        <f t="shared" si="0"/>
        <v>0</v>
      </c>
    </row>
    <row r="50" spans="1:16" ht="66" customHeight="1">
      <c r="A50" s="43"/>
      <c r="B50" s="101"/>
      <c r="C50" s="130"/>
      <c r="D50" s="65"/>
      <c r="E50" s="102"/>
      <c r="F50" s="41"/>
      <c r="G50" s="103"/>
      <c r="H50" s="23"/>
      <c r="I50" s="133"/>
      <c r="J50" s="104"/>
      <c r="K50" s="53"/>
      <c r="L50" s="105"/>
      <c r="M50" s="7"/>
      <c r="N50" s="44"/>
      <c r="P50" s="30">
        <f t="shared" si="0"/>
        <v>0</v>
      </c>
    </row>
    <row r="51" spans="1:16" ht="66" customHeight="1">
      <c r="A51" s="43"/>
      <c r="B51" s="101"/>
      <c r="C51" s="130"/>
      <c r="D51" s="131"/>
      <c r="E51" s="102"/>
      <c r="F51" s="42"/>
      <c r="G51" s="103"/>
      <c r="H51" s="23"/>
      <c r="I51" s="133"/>
      <c r="J51" s="104"/>
      <c r="K51" s="53"/>
      <c r="L51" s="105"/>
      <c r="M51" s="7"/>
      <c r="N51" s="44"/>
      <c r="P51" s="30">
        <f t="shared" si="0"/>
        <v>0</v>
      </c>
    </row>
    <row r="52" spans="1:16" ht="66" customHeight="1">
      <c r="A52" s="43"/>
      <c r="B52" s="101"/>
      <c r="C52" s="130"/>
      <c r="D52" s="61"/>
      <c r="E52" s="102"/>
      <c r="F52" s="42"/>
      <c r="G52" s="103"/>
      <c r="H52" s="23"/>
      <c r="I52" s="133"/>
      <c r="J52" s="104"/>
      <c r="K52" s="53"/>
      <c r="L52" s="105"/>
      <c r="M52" s="7"/>
      <c r="N52" s="44"/>
      <c r="P52" s="30">
        <f t="shared" si="0"/>
        <v>0</v>
      </c>
    </row>
    <row r="53" spans="1:16" ht="66" customHeight="1">
      <c r="A53" s="43"/>
      <c r="B53" s="7"/>
      <c r="C53" s="94"/>
      <c r="D53" s="65"/>
      <c r="E53" s="96"/>
      <c r="F53" s="129"/>
      <c r="G53" s="91"/>
      <c r="H53" s="91"/>
      <c r="I53" s="91"/>
      <c r="J53" s="99"/>
      <c r="K53" s="116"/>
      <c r="L53" s="49"/>
      <c r="M53" s="37"/>
      <c r="N53" s="44"/>
      <c r="P53" s="30">
        <f t="shared" si="0"/>
        <v>0</v>
      </c>
    </row>
    <row r="54" spans="1:16" ht="66" customHeight="1">
      <c r="A54" s="43"/>
      <c r="B54" s="7"/>
      <c r="C54" s="130"/>
      <c r="D54" s="22"/>
      <c r="E54" s="96"/>
      <c r="F54" s="129"/>
      <c r="G54" s="91"/>
      <c r="H54" s="91"/>
      <c r="I54" s="91"/>
      <c r="J54" s="99"/>
      <c r="K54" s="116"/>
      <c r="L54" s="49"/>
      <c r="M54" s="37"/>
      <c r="N54" s="44"/>
      <c r="P54" s="30">
        <f t="shared" si="0"/>
        <v>0</v>
      </c>
    </row>
    <row r="55" spans="1:16" ht="66" customHeight="1">
      <c r="A55" s="95"/>
      <c r="B55" s="7"/>
      <c r="C55" s="7"/>
      <c r="D55" s="106"/>
      <c r="E55" s="110"/>
      <c r="F55" s="88"/>
      <c r="G55" s="91"/>
      <c r="H55" s="91"/>
      <c r="I55" s="91"/>
      <c r="J55" s="107"/>
      <c r="K55" s="108"/>
      <c r="L55" s="109"/>
      <c r="M55" s="37"/>
      <c r="N55" s="95"/>
      <c r="P55" s="30">
        <f t="shared" si="0"/>
        <v>0</v>
      </c>
    </row>
    <row r="56" spans="1:16" ht="66" customHeight="1">
      <c r="A56" s="95"/>
      <c r="B56" s="7"/>
      <c r="C56" s="7"/>
      <c r="D56" s="106"/>
      <c r="E56" s="110"/>
      <c r="F56" s="88"/>
      <c r="G56" s="91"/>
      <c r="H56" s="91"/>
      <c r="I56" s="91"/>
      <c r="J56" s="107"/>
      <c r="K56" s="108"/>
      <c r="L56" s="109"/>
      <c r="M56" s="37"/>
      <c r="N56" s="95"/>
      <c r="P56" s="30">
        <f t="shared" si="0"/>
        <v>0</v>
      </c>
    </row>
    <row r="57" spans="1:16" ht="66" customHeight="1">
      <c r="A57" s="95"/>
      <c r="B57" s="7"/>
      <c r="C57" s="7"/>
      <c r="D57" s="106"/>
      <c r="E57" s="111"/>
      <c r="F57" s="88"/>
      <c r="G57" s="91"/>
      <c r="H57" s="91"/>
      <c r="I57" s="91"/>
      <c r="J57" s="107"/>
      <c r="K57" s="108"/>
      <c r="L57" s="109"/>
      <c r="M57" s="37"/>
      <c r="N57" s="95"/>
      <c r="P57" s="30">
        <f t="shared" si="0"/>
        <v>0</v>
      </c>
    </row>
    <row r="58" spans="1:16" ht="66" customHeight="1">
      <c r="A58" s="95"/>
      <c r="B58" s="7"/>
      <c r="C58" s="7"/>
      <c r="D58" s="112"/>
      <c r="E58" s="111"/>
      <c r="F58" s="88"/>
      <c r="G58" s="91"/>
      <c r="H58" s="91"/>
      <c r="I58" s="91"/>
      <c r="J58" s="107"/>
      <c r="K58" s="108"/>
      <c r="L58" s="109"/>
      <c r="M58" s="37"/>
      <c r="N58" s="95"/>
      <c r="P58" s="30">
        <f t="shared" si="0"/>
        <v>0</v>
      </c>
    </row>
    <row r="59" spans="1:16" ht="66" customHeight="1">
      <c r="A59" s="43"/>
      <c r="B59" s="52"/>
      <c r="C59" s="69"/>
      <c r="D59" s="67"/>
      <c r="E59" s="52"/>
      <c r="F59" s="41"/>
      <c r="G59" s="6"/>
      <c r="H59" s="6"/>
      <c r="I59" s="6"/>
      <c r="J59" s="6"/>
      <c r="K59" s="76"/>
      <c r="L59" s="3"/>
      <c r="M59" s="39"/>
      <c r="N59" s="47"/>
      <c r="P59" s="30">
        <f t="shared" si="0"/>
        <v>0</v>
      </c>
    </row>
    <row r="60" spans="1:16" ht="66" customHeight="1">
      <c r="A60" s="43"/>
      <c r="B60" s="52"/>
      <c r="C60" s="69"/>
      <c r="D60" s="65"/>
      <c r="E60" s="52"/>
      <c r="F60" s="41"/>
      <c r="G60" s="6"/>
      <c r="H60" s="6"/>
      <c r="I60" s="6"/>
      <c r="J60" s="6"/>
      <c r="K60" s="76"/>
      <c r="L60" s="3"/>
      <c r="M60" s="39"/>
      <c r="N60" s="47"/>
      <c r="P60" s="30">
        <f t="shared" si="0"/>
        <v>0</v>
      </c>
    </row>
    <row r="61" spans="1:16" ht="66" customHeight="1">
      <c r="A61" s="43"/>
      <c r="B61" s="52"/>
      <c r="C61" s="69"/>
      <c r="D61" s="65"/>
      <c r="E61" s="52"/>
      <c r="F61" s="41"/>
      <c r="G61" s="6"/>
      <c r="H61" s="6"/>
      <c r="I61" s="6"/>
      <c r="J61" s="6"/>
      <c r="K61" s="76"/>
      <c r="L61" s="3"/>
      <c r="M61" s="37"/>
      <c r="N61" s="47"/>
      <c r="P61" s="30">
        <f t="shared" si="0"/>
        <v>0</v>
      </c>
    </row>
    <row r="62" spans="1:16" ht="66" customHeight="1">
      <c r="A62" s="43"/>
      <c r="B62" s="52"/>
      <c r="C62" s="69"/>
      <c r="D62" s="65"/>
      <c r="E62" s="52"/>
      <c r="F62" s="41"/>
      <c r="G62" s="6"/>
      <c r="H62" s="6"/>
      <c r="I62" s="6"/>
      <c r="J62" s="6"/>
      <c r="K62" s="76"/>
      <c r="L62" s="3"/>
      <c r="M62" s="39"/>
      <c r="N62" s="47"/>
      <c r="P62" s="30">
        <f t="shared" si="0"/>
        <v>0</v>
      </c>
    </row>
    <row r="63" spans="1:16" ht="66" customHeight="1">
      <c r="A63" s="43"/>
      <c r="B63" s="52"/>
      <c r="C63" s="69"/>
      <c r="D63" s="65"/>
      <c r="E63" s="52"/>
      <c r="F63" s="41"/>
      <c r="G63" s="6"/>
      <c r="H63" s="6"/>
      <c r="I63" s="6"/>
      <c r="J63" s="6"/>
      <c r="K63" s="76"/>
      <c r="L63" s="3"/>
      <c r="M63" s="39"/>
      <c r="N63" s="47"/>
      <c r="P63" s="30">
        <f t="shared" si="0"/>
        <v>0</v>
      </c>
    </row>
    <row r="64" spans="1:16" ht="66" customHeight="1">
      <c r="A64" s="43"/>
      <c r="B64" s="52"/>
      <c r="C64" s="69"/>
      <c r="D64" s="65"/>
      <c r="E64" s="52"/>
      <c r="F64" s="41"/>
      <c r="G64" s="6"/>
      <c r="H64" s="6"/>
      <c r="I64" s="6"/>
      <c r="J64" s="6"/>
      <c r="K64" s="76"/>
      <c r="L64" s="3"/>
      <c r="M64" s="39"/>
      <c r="N64" s="47"/>
      <c r="P64" s="30">
        <f t="shared" si="0"/>
        <v>0</v>
      </c>
    </row>
    <row r="65" spans="1:16" ht="66" customHeight="1">
      <c r="A65" s="43"/>
      <c r="B65" s="5"/>
      <c r="C65" s="69"/>
      <c r="D65" s="65"/>
      <c r="E65" s="5"/>
      <c r="F65" s="41"/>
      <c r="G65" s="6"/>
      <c r="H65" s="6"/>
      <c r="I65" s="6"/>
      <c r="J65" s="6"/>
      <c r="K65" s="76"/>
      <c r="L65" s="3"/>
      <c r="M65" s="39"/>
      <c r="N65" s="47"/>
      <c r="P65" s="30">
        <f t="shared" si="0"/>
        <v>0</v>
      </c>
    </row>
    <row r="66" spans="1:16" ht="66" customHeight="1">
      <c r="A66" s="43"/>
      <c r="B66" s="52"/>
      <c r="C66" s="69"/>
      <c r="D66" s="65"/>
      <c r="E66" s="52"/>
      <c r="F66" s="41"/>
      <c r="G66" s="6"/>
      <c r="H66" s="6"/>
      <c r="I66" s="6"/>
      <c r="J66" s="6"/>
      <c r="K66" s="76"/>
      <c r="L66" s="3"/>
      <c r="M66" s="54"/>
      <c r="N66" s="22"/>
      <c r="P66" s="30">
        <f t="shared" si="0"/>
        <v>0</v>
      </c>
    </row>
    <row r="67" spans="1:16" ht="66" customHeight="1">
      <c r="A67" s="43"/>
      <c r="B67" s="52"/>
      <c r="C67" s="69"/>
      <c r="D67" s="65"/>
      <c r="E67" s="52"/>
      <c r="F67" s="41"/>
      <c r="G67" s="6"/>
      <c r="H67" s="6"/>
      <c r="I67" s="6"/>
      <c r="J67" s="6"/>
      <c r="K67" s="76"/>
      <c r="L67" s="3"/>
      <c r="M67" s="54"/>
      <c r="N67" s="22"/>
      <c r="P67" s="30">
        <f t="shared" si="0"/>
        <v>0</v>
      </c>
    </row>
    <row r="68" spans="1:16" ht="66" customHeight="1">
      <c r="A68" s="43"/>
      <c r="B68" s="52"/>
      <c r="C68" s="69"/>
      <c r="D68" s="65"/>
      <c r="E68" s="52"/>
      <c r="F68" s="41"/>
      <c r="G68" s="6"/>
      <c r="H68" s="6"/>
      <c r="I68" s="6"/>
      <c r="J68" s="6"/>
      <c r="K68" s="76"/>
      <c r="L68" s="3"/>
      <c r="M68" s="54"/>
      <c r="N68" s="22"/>
      <c r="P68" s="30">
        <f t="shared" si="0"/>
        <v>0</v>
      </c>
    </row>
    <row r="69" spans="1:16" ht="66" customHeight="1">
      <c r="A69" s="43"/>
      <c r="B69" s="52"/>
      <c r="C69" s="69"/>
      <c r="D69" s="65"/>
      <c r="E69" s="52"/>
      <c r="F69" s="41"/>
      <c r="G69" s="6"/>
      <c r="H69" s="6"/>
      <c r="I69" s="6"/>
      <c r="J69" s="6"/>
      <c r="K69" s="76"/>
      <c r="L69" s="3"/>
      <c r="M69" s="54"/>
      <c r="N69" s="22"/>
      <c r="P69" s="30">
        <f t="shared" si="0"/>
        <v>0</v>
      </c>
    </row>
    <row r="70" spans="1:16" ht="66" customHeight="1">
      <c r="A70" s="43"/>
      <c r="B70" s="52"/>
      <c r="C70" s="69"/>
      <c r="D70" s="65"/>
      <c r="E70" s="52"/>
      <c r="F70" s="41"/>
      <c r="G70" s="6"/>
      <c r="H70" s="6"/>
      <c r="I70" s="6"/>
      <c r="J70" s="6"/>
      <c r="K70" s="76"/>
      <c r="L70" s="3"/>
      <c r="M70" s="54"/>
      <c r="N70" s="22"/>
      <c r="P70" s="30">
        <f t="shared" si="0"/>
        <v>0</v>
      </c>
    </row>
    <row r="71" spans="1:16" ht="66" customHeight="1">
      <c r="A71" s="43"/>
      <c r="B71" s="52"/>
      <c r="C71" s="69"/>
      <c r="D71" s="65"/>
      <c r="E71" s="52"/>
      <c r="F71" s="41"/>
      <c r="G71" s="6"/>
      <c r="H71" s="6"/>
      <c r="I71" s="6"/>
      <c r="J71" s="6"/>
      <c r="K71" s="76"/>
      <c r="L71" s="3"/>
      <c r="M71" s="54"/>
      <c r="N71" s="22"/>
      <c r="P71" s="30">
        <f t="shared" si="0"/>
        <v>0</v>
      </c>
    </row>
    <row r="72" spans="1:16" ht="66" customHeight="1">
      <c r="A72" s="43"/>
      <c r="B72" s="52"/>
      <c r="C72" s="69"/>
      <c r="D72" s="65"/>
      <c r="E72" s="52"/>
      <c r="F72" s="41"/>
      <c r="G72" s="6"/>
      <c r="H72" s="6"/>
      <c r="I72" s="6"/>
      <c r="J72" s="6"/>
      <c r="K72" s="76"/>
      <c r="L72" s="3"/>
      <c r="M72" s="54"/>
      <c r="N72" s="22"/>
      <c r="P72" s="30">
        <f t="shared" si="0"/>
        <v>0</v>
      </c>
    </row>
    <row r="73" spans="1:16" ht="66" customHeight="1">
      <c r="A73" s="43"/>
      <c r="B73" s="52"/>
      <c r="C73" s="69"/>
      <c r="D73" s="62"/>
      <c r="E73" s="52"/>
      <c r="F73" s="41"/>
      <c r="G73" s="6"/>
      <c r="H73" s="6"/>
      <c r="I73" s="6"/>
      <c r="J73" s="6"/>
      <c r="K73" s="76"/>
      <c r="L73" s="3"/>
      <c r="M73" s="54"/>
      <c r="N73" s="22"/>
      <c r="P73" s="30">
        <f t="shared" ref="P73:P136" si="1">ROUND(L73,0)</f>
        <v>0</v>
      </c>
    </row>
    <row r="74" spans="1:16" ht="66" customHeight="1">
      <c r="A74" s="43"/>
      <c r="B74" s="52"/>
      <c r="C74" s="69"/>
      <c r="D74" s="65"/>
      <c r="E74" s="52"/>
      <c r="F74" s="41"/>
      <c r="G74" s="6"/>
      <c r="H74" s="6"/>
      <c r="I74" s="6"/>
      <c r="J74" s="6"/>
      <c r="K74" s="76"/>
      <c r="L74" s="3"/>
      <c r="M74" s="54"/>
      <c r="N74" s="22"/>
      <c r="P74" s="30">
        <f t="shared" si="1"/>
        <v>0</v>
      </c>
    </row>
    <row r="75" spans="1:16" ht="66" customHeight="1">
      <c r="A75" s="43"/>
      <c r="B75" s="52"/>
      <c r="C75" s="69"/>
      <c r="D75" s="65"/>
      <c r="E75" s="52"/>
      <c r="F75" s="41"/>
      <c r="G75" s="6"/>
      <c r="H75" s="6"/>
      <c r="I75" s="6"/>
      <c r="J75" s="6"/>
      <c r="K75" s="76"/>
      <c r="L75" s="3"/>
      <c r="M75" s="54"/>
      <c r="N75" s="22"/>
      <c r="P75" s="30">
        <f t="shared" si="1"/>
        <v>0</v>
      </c>
    </row>
    <row r="76" spans="1:16" ht="66" customHeight="1">
      <c r="A76" s="43"/>
      <c r="B76" s="52"/>
      <c r="C76" s="69"/>
      <c r="D76" s="65"/>
      <c r="E76" s="52"/>
      <c r="F76" s="41"/>
      <c r="G76" s="6"/>
      <c r="H76" s="6"/>
      <c r="I76" s="6"/>
      <c r="J76" s="6"/>
      <c r="K76" s="76"/>
      <c r="L76" s="3"/>
      <c r="M76" s="54"/>
      <c r="N76" s="22"/>
      <c r="P76" s="30">
        <f t="shared" si="1"/>
        <v>0</v>
      </c>
    </row>
    <row r="77" spans="1:16" ht="66" customHeight="1">
      <c r="A77" s="43"/>
      <c r="B77" s="52"/>
      <c r="C77" s="69"/>
      <c r="D77" s="65"/>
      <c r="E77" s="52"/>
      <c r="F77" s="41"/>
      <c r="G77" s="6"/>
      <c r="H77" s="6"/>
      <c r="I77" s="6"/>
      <c r="J77" s="6"/>
      <c r="K77" s="76"/>
      <c r="L77" s="3"/>
      <c r="M77" s="54"/>
      <c r="N77" s="22"/>
      <c r="P77" s="30">
        <f t="shared" si="1"/>
        <v>0</v>
      </c>
    </row>
    <row r="78" spans="1:16" ht="66" customHeight="1">
      <c r="A78" s="43"/>
      <c r="B78" s="52"/>
      <c r="C78" s="69"/>
      <c r="D78" s="65"/>
      <c r="E78" s="52"/>
      <c r="F78" s="41"/>
      <c r="G78" s="6"/>
      <c r="H78" s="6"/>
      <c r="I78" s="6"/>
      <c r="J78" s="6"/>
      <c r="K78" s="76"/>
      <c r="L78" s="3"/>
      <c r="M78" s="54"/>
      <c r="N78" s="22"/>
      <c r="P78" s="30">
        <f t="shared" si="1"/>
        <v>0</v>
      </c>
    </row>
    <row r="79" spans="1:16" ht="66" customHeight="1">
      <c r="A79" s="43"/>
      <c r="B79" s="52"/>
      <c r="C79" s="69"/>
      <c r="D79" s="65"/>
      <c r="E79" s="52"/>
      <c r="F79" s="41"/>
      <c r="G79" s="6"/>
      <c r="H79" s="6"/>
      <c r="I79" s="6"/>
      <c r="J79" s="6"/>
      <c r="K79" s="76"/>
      <c r="L79" s="3"/>
      <c r="M79" s="54"/>
      <c r="N79" s="22"/>
      <c r="P79" s="30">
        <f t="shared" si="1"/>
        <v>0</v>
      </c>
    </row>
    <row r="80" spans="1:16" ht="66" customHeight="1">
      <c r="A80" s="43"/>
      <c r="B80" s="52"/>
      <c r="C80" s="69"/>
      <c r="D80" s="65"/>
      <c r="E80" s="52"/>
      <c r="F80" s="41"/>
      <c r="G80" s="6"/>
      <c r="H80" s="6"/>
      <c r="I80" s="6"/>
      <c r="J80" s="6"/>
      <c r="K80" s="76"/>
      <c r="L80" s="3"/>
      <c r="M80" s="54"/>
      <c r="N80" s="22"/>
      <c r="P80" s="30">
        <f t="shared" si="1"/>
        <v>0</v>
      </c>
    </row>
    <row r="81" spans="1:16" ht="66" customHeight="1">
      <c r="A81" s="43"/>
      <c r="B81" s="52"/>
      <c r="C81" s="69"/>
      <c r="D81" s="65"/>
      <c r="E81" s="52"/>
      <c r="F81" s="41"/>
      <c r="G81" s="6"/>
      <c r="H81" s="6"/>
      <c r="I81" s="6"/>
      <c r="J81" s="6"/>
      <c r="K81" s="76"/>
      <c r="L81" s="3"/>
      <c r="M81" s="54"/>
      <c r="N81" s="22"/>
      <c r="P81" s="30">
        <f t="shared" si="1"/>
        <v>0</v>
      </c>
    </row>
    <row r="82" spans="1:16" ht="66" customHeight="1">
      <c r="A82" s="43"/>
      <c r="B82" s="75"/>
      <c r="C82" s="71"/>
      <c r="D82" s="81"/>
      <c r="E82" s="52"/>
      <c r="F82" s="40"/>
      <c r="G82" s="6"/>
      <c r="H82" s="6"/>
      <c r="I82" s="6"/>
      <c r="J82" s="6"/>
      <c r="K82" s="76"/>
      <c r="L82" s="3"/>
      <c r="M82" s="55"/>
      <c r="N82" s="22"/>
      <c r="P82" s="30">
        <f t="shared" si="1"/>
        <v>0</v>
      </c>
    </row>
    <row r="83" spans="1:16" ht="66" customHeight="1">
      <c r="A83" s="43"/>
      <c r="B83" s="68"/>
      <c r="C83" s="71"/>
      <c r="D83" s="63"/>
      <c r="E83" s="52"/>
      <c r="F83" s="41"/>
      <c r="G83" s="6"/>
      <c r="H83" s="6"/>
      <c r="I83" s="6"/>
      <c r="J83" s="6"/>
      <c r="K83" s="76"/>
      <c r="L83" s="3"/>
      <c r="M83" s="54"/>
      <c r="N83" s="22"/>
      <c r="P83" s="30">
        <f t="shared" si="1"/>
        <v>0</v>
      </c>
    </row>
    <row r="84" spans="1:16" ht="66" customHeight="1">
      <c r="A84" s="43"/>
      <c r="B84" s="52"/>
      <c r="C84" s="69"/>
      <c r="D84" s="62"/>
      <c r="E84" s="77"/>
      <c r="F84" s="42"/>
      <c r="G84" s="6"/>
      <c r="H84" s="6"/>
      <c r="I84" s="6"/>
      <c r="J84" s="6"/>
      <c r="K84" s="76"/>
      <c r="L84" s="3"/>
      <c r="M84" s="54"/>
      <c r="N84" s="22"/>
      <c r="P84" s="30">
        <f t="shared" si="1"/>
        <v>0</v>
      </c>
    </row>
    <row r="85" spans="1:16" ht="66" customHeight="1">
      <c r="A85" s="43"/>
      <c r="B85" s="52"/>
      <c r="C85" s="69"/>
      <c r="D85" s="65"/>
      <c r="E85" s="52"/>
      <c r="F85" s="42"/>
      <c r="G85" s="6"/>
      <c r="H85" s="6"/>
      <c r="I85" s="6"/>
      <c r="J85" s="6"/>
      <c r="K85" s="76"/>
      <c r="L85" s="3"/>
      <c r="M85" s="54"/>
      <c r="N85" s="22"/>
      <c r="P85" s="30">
        <f t="shared" si="1"/>
        <v>0</v>
      </c>
    </row>
    <row r="86" spans="1:16" ht="66" customHeight="1">
      <c r="A86" s="43"/>
      <c r="B86" s="52"/>
      <c r="C86" s="71"/>
      <c r="D86" s="65"/>
      <c r="E86" s="52"/>
      <c r="F86" s="42"/>
      <c r="G86" s="6"/>
      <c r="H86" s="6"/>
      <c r="I86" s="6"/>
      <c r="J86" s="6"/>
      <c r="K86" s="76"/>
      <c r="L86" s="3"/>
      <c r="M86" s="54"/>
      <c r="N86" s="22"/>
      <c r="P86" s="30">
        <f t="shared" si="1"/>
        <v>0</v>
      </c>
    </row>
    <row r="87" spans="1:16" ht="66" customHeight="1">
      <c r="A87" s="43"/>
      <c r="B87" s="52"/>
      <c r="C87" s="71"/>
      <c r="D87" s="63"/>
      <c r="E87" s="52"/>
      <c r="F87" s="42"/>
      <c r="G87" s="6"/>
      <c r="H87" s="6"/>
      <c r="I87" s="6"/>
      <c r="J87" s="6"/>
      <c r="K87" s="76"/>
      <c r="L87" s="3"/>
      <c r="M87" s="54"/>
      <c r="N87" s="22"/>
      <c r="P87" s="30">
        <f t="shared" si="1"/>
        <v>0</v>
      </c>
    </row>
    <row r="88" spans="1:16" ht="66" customHeight="1">
      <c r="A88" s="43"/>
      <c r="B88" s="52"/>
      <c r="C88" s="71"/>
      <c r="D88" s="63"/>
      <c r="E88" s="52"/>
      <c r="F88" s="42"/>
      <c r="G88" s="6"/>
      <c r="H88" s="6"/>
      <c r="I88" s="6"/>
      <c r="J88" s="6"/>
      <c r="K88" s="76"/>
      <c r="L88" s="3"/>
      <c r="M88" s="54"/>
      <c r="N88" s="22"/>
      <c r="P88" s="30">
        <f t="shared" si="1"/>
        <v>0</v>
      </c>
    </row>
    <row r="89" spans="1:16" ht="66" customHeight="1">
      <c r="A89" s="43"/>
      <c r="B89" s="52"/>
      <c r="C89" s="71"/>
      <c r="D89" s="65"/>
      <c r="E89" s="52"/>
      <c r="F89" s="42"/>
      <c r="G89" s="6"/>
      <c r="H89" s="6"/>
      <c r="I89" s="6"/>
      <c r="J89" s="6"/>
      <c r="K89" s="76"/>
      <c r="L89" s="3"/>
      <c r="M89" s="54"/>
      <c r="N89" s="22"/>
      <c r="P89" s="30">
        <f t="shared" si="1"/>
        <v>0</v>
      </c>
    </row>
    <row r="90" spans="1:16" ht="66" customHeight="1">
      <c r="A90" s="43"/>
      <c r="B90" s="72"/>
      <c r="C90" s="71"/>
      <c r="D90" s="64"/>
      <c r="E90" s="5"/>
      <c r="F90" s="42"/>
      <c r="G90" s="6"/>
      <c r="H90" s="6"/>
      <c r="I90" s="6"/>
      <c r="J90" s="6"/>
      <c r="K90" s="76"/>
      <c r="L90" s="3"/>
      <c r="M90" s="55"/>
      <c r="N90" s="22"/>
      <c r="P90" s="30">
        <f t="shared" si="1"/>
        <v>0</v>
      </c>
    </row>
    <row r="91" spans="1:16" ht="66" customHeight="1">
      <c r="A91" s="43"/>
      <c r="B91" s="52"/>
      <c r="C91" s="71"/>
      <c r="D91" s="64"/>
      <c r="E91" s="5"/>
      <c r="F91" s="40"/>
      <c r="G91" s="6"/>
      <c r="H91" s="6"/>
      <c r="I91" s="6"/>
      <c r="J91" s="6"/>
      <c r="K91" s="76"/>
      <c r="L91" s="3"/>
      <c r="M91" s="55"/>
      <c r="N91" s="22"/>
      <c r="P91" s="30">
        <f t="shared" si="1"/>
        <v>0</v>
      </c>
    </row>
    <row r="92" spans="1:16" ht="66" customHeight="1">
      <c r="A92" s="43"/>
      <c r="B92" s="52"/>
      <c r="C92" s="71"/>
      <c r="D92" s="61"/>
      <c r="E92" s="5"/>
      <c r="F92" s="40"/>
      <c r="G92" s="6"/>
      <c r="H92" s="6"/>
      <c r="I92" s="6"/>
      <c r="J92" s="6"/>
      <c r="K92" s="76"/>
      <c r="L92" s="3"/>
      <c r="M92" s="55"/>
      <c r="N92" s="22"/>
      <c r="P92" s="30">
        <f t="shared" si="1"/>
        <v>0</v>
      </c>
    </row>
    <row r="93" spans="1:16" ht="66" customHeight="1">
      <c r="A93" s="43"/>
      <c r="B93" s="52"/>
      <c r="C93" s="71"/>
      <c r="D93" s="61"/>
      <c r="E93" s="52"/>
      <c r="F93" s="40"/>
      <c r="G93" s="6"/>
      <c r="H93" s="6"/>
      <c r="I93" s="6"/>
      <c r="J93" s="6"/>
      <c r="K93" s="76"/>
      <c r="L93" s="3"/>
      <c r="M93" s="54"/>
      <c r="N93" s="22"/>
      <c r="P93" s="30">
        <f t="shared" si="1"/>
        <v>0</v>
      </c>
    </row>
    <row r="94" spans="1:16" ht="66" customHeight="1">
      <c r="A94" s="43"/>
      <c r="B94" s="38"/>
      <c r="C94" s="50"/>
      <c r="D94" s="61"/>
      <c r="E94" s="52"/>
      <c r="F94" s="40"/>
      <c r="G94" s="6"/>
      <c r="H94" s="6"/>
      <c r="I94" s="6"/>
      <c r="J94" s="6"/>
      <c r="K94" s="76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50"/>
      <c r="D95" s="61"/>
      <c r="E95" s="52"/>
      <c r="F95" s="40"/>
      <c r="G95" s="6"/>
      <c r="H95" s="6"/>
      <c r="I95" s="6"/>
      <c r="J95" s="6"/>
      <c r="K95" s="76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50"/>
      <c r="D96" s="67"/>
      <c r="E96" s="52"/>
      <c r="F96" s="40"/>
      <c r="G96" s="6"/>
      <c r="H96" s="6"/>
      <c r="I96" s="6"/>
      <c r="J96" s="6"/>
      <c r="K96" s="76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50"/>
      <c r="D97" s="67"/>
      <c r="E97" s="52"/>
      <c r="F97" s="42"/>
      <c r="G97" s="6"/>
      <c r="H97" s="6"/>
      <c r="I97" s="6"/>
      <c r="J97" s="6"/>
      <c r="K97" s="76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78"/>
      <c r="D98" s="82"/>
      <c r="E98" s="52"/>
      <c r="F98" s="42"/>
      <c r="G98" s="6"/>
      <c r="H98" s="6"/>
      <c r="I98" s="6"/>
      <c r="J98" s="6"/>
      <c r="K98" s="76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78"/>
      <c r="D99" s="82"/>
      <c r="E99" s="52"/>
      <c r="F99" s="42"/>
      <c r="G99" s="6"/>
      <c r="H99" s="6"/>
      <c r="I99" s="6"/>
      <c r="J99" s="6"/>
      <c r="K99" s="76"/>
      <c r="L99" s="3"/>
      <c r="M99" s="7"/>
      <c r="N99" s="22"/>
      <c r="P99" s="30">
        <f t="shared" si="1"/>
        <v>0</v>
      </c>
    </row>
    <row r="100" spans="1:16" ht="66" customHeight="1">
      <c r="A100" s="43"/>
      <c r="B100" s="38"/>
      <c r="C100" s="78"/>
      <c r="D100" s="65"/>
      <c r="E100" s="52"/>
      <c r="F100" s="42"/>
      <c r="G100" s="6"/>
      <c r="H100" s="6"/>
      <c r="I100" s="6"/>
      <c r="J100" s="6"/>
      <c r="K100" s="76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38"/>
      <c r="C101" s="78"/>
      <c r="D101" s="65"/>
      <c r="E101" s="52"/>
      <c r="F101" s="42"/>
      <c r="G101" s="6"/>
      <c r="H101" s="6"/>
      <c r="I101" s="6"/>
      <c r="J101" s="6"/>
      <c r="K101" s="76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38"/>
      <c r="C102" s="78"/>
      <c r="D102" s="65"/>
      <c r="E102" s="52"/>
      <c r="F102" s="42"/>
      <c r="G102" s="6"/>
      <c r="H102" s="6"/>
      <c r="I102" s="6"/>
      <c r="J102" s="6"/>
      <c r="K102" s="76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38"/>
      <c r="C103" s="78"/>
      <c r="D103" s="22"/>
      <c r="E103" s="52"/>
      <c r="F103" s="42"/>
      <c r="G103" s="6"/>
      <c r="H103" s="6"/>
      <c r="I103" s="6"/>
      <c r="J103" s="6"/>
      <c r="K103" s="76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78"/>
      <c r="D104" s="65"/>
      <c r="E104" s="38"/>
      <c r="F104" s="42"/>
      <c r="G104" s="6"/>
      <c r="H104" s="6"/>
      <c r="I104" s="6"/>
      <c r="J104" s="6"/>
      <c r="K104" s="76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78"/>
      <c r="D105" s="61"/>
      <c r="E105" s="52"/>
      <c r="F105" s="41"/>
      <c r="G105" s="6"/>
      <c r="H105" s="6"/>
      <c r="I105" s="6"/>
      <c r="J105" s="6"/>
      <c r="K105" s="76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38"/>
      <c r="C106" s="78"/>
      <c r="D106" s="62"/>
      <c r="E106" s="52"/>
      <c r="F106" s="40"/>
      <c r="G106" s="6"/>
      <c r="H106" s="6"/>
      <c r="I106" s="6"/>
      <c r="J106" s="6"/>
      <c r="K106" s="76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79"/>
      <c r="C107" s="78"/>
      <c r="D107" s="65"/>
      <c r="E107" s="52"/>
      <c r="F107" s="40"/>
      <c r="G107" s="6"/>
      <c r="H107" s="6"/>
      <c r="I107" s="6"/>
      <c r="J107" s="6"/>
      <c r="K107" s="76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79"/>
      <c r="C108" s="78"/>
      <c r="D108" s="63"/>
      <c r="E108" s="52"/>
      <c r="F108" s="40"/>
      <c r="G108" s="6"/>
      <c r="H108" s="6"/>
      <c r="I108" s="6"/>
      <c r="J108" s="6"/>
      <c r="K108" s="76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79"/>
      <c r="C109" s="78"/>
      <c r="D109" s="65"/>
      <c r="E109" s="52"/>
      <c r="F109" s="41"/>
      <c r="G109" s="6"/>
      <c r="H109" s="6"/>
      <c r="I109" s="6"/>
      <c r="J109" s="6"/>
      <c r="K109" s="76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80"/>
      <c r="C110" s="50"/>
      <c r="D110" s="62"/>
      <c r="E110" s="52"/>
      <c r="F110" s="40"/>
      <c r="G110" s="6"/>
      <c r="H110" s="6"/>
      <c r="I110" s="6"/>
      <c r="J110" s="6"/>
      <c r="K110" s="76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50"/>
      <c r="D111" s="61"/>
      <c r="E111" s="52"/>
      <c r="F111" s="41"/>
      <c r="G111" s="6"/>
      <c r="H111" s="6"/>
      <c r="I111" s="6"/>
      <c r="J111" s="6"/>
      <c r="K111" s="76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38"/>
      <c r="C112" s="50"/>
      <c r="D112" s="65"/>
      <c r="E112" s="52"/>
      <c r="F112" s="42"/>
      <c r="G112" s="6"/>
      <c r="H112" s="6"/>
      <c r="I112" s="6"/>
      <c r="J112" s="6"/>
      <c r="K112" s="76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6"/>
      <c r="C113" s="50"/>
      <c r="D113" s="62"/>
      <c r="E113" s="52"/>
      <c r="F113" s="42"/>
      <c r="G113" s="6"/>
      <c r="H113" s="6"/>
      <c r="I113" s="6"/>
      <c r="J113" s="6"/>
      <c r="K113" s="76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7"/>
      <c r="C114" s="50"/>
      <c r="D114" s="62"/>
      <c r="E114" s="5"/>
      <c r="F114" s="42"/>
      <c r="G114" s="6"/>
      <c r="H114" s="6"/>
      <c r="I114" s="6"/>
      <c r="J114" s="6"/>
      <c r="K114" s="76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6"/>
      <c r="C115" s="50"/>
      <c r="D115" s="62"/>
      <c r="E115" s="5"/>
      <c r="F115" s="41"/>
      <c r="G115" s="6"/>
      <c r="H115" s="6"/>
      <c r="I115" s="6"/>
      <c r="J115" s="6"/>
      <c r="K115" s="76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7"/>
      <c r="C116" s="50"/>
      <c r="D116" s="83"/>
      <c r="E116" s="52"/>
      <c r="F116" s="42"/>
      <c r="G116" s="6"/>
      <c r="H116" s="6"/>
      <c r="I116" s="6"/>
      <c r="J116" s="6"/>
      <c r="K116" s="76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6"/>
      <c r="C117" s="50"/>
      <c r="D117" s="62"/>
      <c r="E117" s="52"/>
      <c r="F117" s="42"/>
      <c r="G117" s="6"/>
      <c r="H117" s="6"/>
      <c r="I117" s="6"/>
      <c r="J117" s="6"/>
      <c r="K117" s="76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7"/>
      <c r="C118" s="50"/>
      <c r="D118" s="62"/>
      <c r="E118" s="52"/>
      <c r="F118" s="42"/>
      <c r="G118" s="6"/>
      <c r="H118" s="6"/>
      <c r="I118" s="6"/>
      <c r="J118" s="6"/>
      <c r="K118" s="76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6"/>
      <c r="C119" s="50"/>
      <c r="D119" s="65"/>
      <c r="E119" s="52"/>
      <c r="F119" s="41"/>
      <c r="G119" s="6"/>
      <c r="H119" s="6"/>
      <c r="I119" s="6"/>
      <c r="J119" s="6"/>
      <c r="K119" s="76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7"/>
      <c r="C120" s="50"/>
      <c r="D120" s="62"/>
      <c r="E120" s="52"/>
      <c r="F120" s="42"/>
      <c r="G120" s="6"/>
      <c r="H120" s="6"/>
      <c r="I120" s="6"/>
      <c r="J120" s="6"/>
      <c r="K120" s="76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6"/>
      <c r="C121" s="50"/>
      <c r="D121" s="62"/>
      <c r="E121" s="52"/>
      <c r="F121" s="42"/>
      <c r="G121" s="6"/>
      <c r="H121" s="6"/>
      <c r="I121" s="6"/>
      <c r="J121" s="6"/>
      <c r="K121" s="76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7"/>
      <c r="C122" s="78"/>
      <c r="D122" s="66"/>
      <c r="E122" s="68"/>
      <c r="F122" s="40"/>
      <c r="G122" s="6"/>
      <c r="H122" s="23"/>
      <c r="I122" s="23"/>
      <c r="J122" s="84"/>
      <c r="K122" s="85"/>
      <c r="L122" s="86"/>
      <c r="M122" s="7"/>
      <c r="N122" s="22"/>
      <c r="P122" s="30">
        <f t="shared" si="1"/>
        <v>0</v>
      </c>
    </row>
    <row r="123" spans="1:16" ht="66" customHeight="1">
      <c r="A123" s="43"/>
      <c r="B123" s="56"/>
      <c r="C123" s="50"/>
      <c r="D123" s="87"/>
      <c r="E123" s="52"/>
      <c r="F123" s="42"/>
      <c r="G123" s="6"/>
      <c r="H123" s="23"/>
      <c r="I123" s="23"/>
      <c r="J123" s="84"/>
      <c r="K123" s="85"/>
      <c r="L123" s="86"/>
      <c r="M123" s="7"/>
      <c r="N123" s="22"/>
      <c r="P123" s="30">
        <f t="shared" si="1"/>
        <v>0</v>
      </c>
    </row>
    <row r="124" spans="1:16" ht="66" customHeight="1">
      <c r="A124" s="43"/>
      <c r="B124" s="57"/>
      <c r="C124" s="50"/>
      <c r="D124" s="51"/>
      <c r="E124" s="52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6"/>
      <c r="C125" s="50"/>
      <c r="D125" s="51"/>
      <c r="E125" s="52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7"/>
      <c r="C126" s="50"/>
      <c r="D126" s="51"/>
      <c r="E126" s="52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6"/>
      <c r="C127" s="50"/>
      <c r="D127" s="51"/>
      <c r="E127" s="52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7"/>
      <c r="C128" s="50"/>
      <c r="D128" s="53"/>
      <c r="E128" s="5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2"/>
      <c r="C129" s="51"/>
      <c r="D129" s="51"/>
      <c r="E129" s="52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2"/>
      <c r="C130" s="51"/>
      <c r="D130" s="51"/>
      <c r="E130" s="52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2"/>
      <c r="C131" s="51"/>
      <c r="D131" s="51"/>
      <c r="E131" s="52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1"/>
        <v>0</v>
      </c>
    </row>
    <row r="132" spans="1:16" ht="66" customHeight="1">
      <c r="A132" s="43"/>
      <c r="B132" s="52"/>
      <c r="C132" s="51"/>
      <c r="D132" s="51"/>
      <c r="E132" s="52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1"/>
        <v>0</v>
      </c>
    </row>
    <row r="133" spans="1:16" ht="66" customHeight="1">
      <c r="A133" s="43"/>
      <c r="B133" s="52"/>
      <c r="C133" s="51"/>
      <c r="D133" s="51"/>
      <c r="E133" s="52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2"/>
      <c r="C134" s="51"/>
      <c r="D134" s="51"/>
      <c r="E134" s="52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2"/>
      <c r="C135" s="51"/>
      <c r="D135" s="51"/>
      <c r="E135" s="52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2"/>
      <c r="C136" s="51"/>
      <c r="D136" s="51"/>
      <c r="E136" s="52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1"/>
        <v>0</v>
      </c>
    </row>
    <row r="137" spans="1:16" ht="66" customHeight="1">
      <c r="A137" s="43"/>
      <c r="B137" s="52"/>
      <c r="C137" s="51"/>
      <c r="D137" s="51"/>
      <c r="E137" s="52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ref="P137:P148" si="2">ROUND(L137,0)</f>
        <v>0</v>
      </c>
    </row>
    <row r="138" spans="1:16" ht="66" customHeight="1">
      <c r="A138" s="43"/>
      <c r="B138" s="52"/>
      <c r="C138" s="51"/>
      <c r="D138" s="51"/>
      <c r="E138" s="52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"/>
      <c r="C139" s="51"/>
      <c r="D139" s="51"/>
      <c r="E139" s="52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2"/>
      <c r="C140" s="51"/>
      <c r="D140" s="51"/>
      <c r="E140" s="52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9"/>
      <c r="C141" s="51"/>
      <c r="D141" s="58"/>
      <c r="E141" s="59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"/>
      <c r="C142" s="51"/>
      <c r="D142" s="53"/>
      <c r="E142" s="5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2"/>
        <v>0</v>
      </c>
    </row>
    <row r="143" spans="1:16" ht="66" customHeight="1">
      <c r="A143" s="43"/>
      <c r="B143" s="52"/>
      <c r="C143" s="51"/>
      <c r="D143" s="51"/>
      <c r="E143" s="52"/>
      <c r="F143" s="35"/>
      <c r="G143" s="6"/>
      <c r="H143" s="6"/>
      <c r="I143" s="6"/>
      <c r="J143" s="23"/>
      <c r="K143" s="37"/>
      <c r="L143" s="3"/>
      <c r="M143" s="60"/>
      <c r="N143" s="22"/>
      <c r="P143" s="30">
        <f t="shared" si="2"/>
        <v>0</v>
      </c>
    </row>
    <row r="144" spans="1:16" ht="66" customHeight="1">
      <c r="A144" s="43"/>
      <c r="B144" s="52"/>
      <c r="C144" s="51"/>
      <c r="D144" s="51"/>
      <c r="E144" s="52"/>
      <c r="F144" s="35"/>
      <c r="G144" s="6"/>
      <c r="H144" s="6"/>
      <c r="I144" s="6"/>
      <c r="J144" s="23"/>
      <c r="K144" s="37"/>
      <c r="L144" s="3"/>
      <c r="M144" s="60"/>
      <c r="N144" s="22"/>
      <c r="P144" s="30">
        <f t="shared" si="2"/>
        <v>0</v>
      </c>
    </row>
    <row r="145" spans="1:16" ht="66" customHeight="1">
      <c r="A145" s="43"/>
      <c r="B145" s="52"/>
      <c r="C145" s="51"/>
      <c r="D145" s="51"/>
      <c r="E145" s="52"/>
      <c r="F145" s="35"/>
      <c r="G145" s="6"/>
      <c r="H145" s="6"/>
      <c r="I145" s="6"/>
      <c r="J145" s="23"/>
      <c r="K145" s="37"/>
      <c r="L145" s="3"/>
      <c r="M145" s="60"/>
      <c r="N145" s="22"/>
      <c r="P145" s="30">
        <f t="shared" si="2"/>
        <v>0</v>
      </c>
    </row>
    <row r="146" spans="1:16" ht="66" customHeight="1">
      <c r="A146" s="43"/>
      <c r="B146" s="52"/>
      <c r="C146" s="51"/>
      <c r="D146" s="51"/>
      <c r="E146" s="52"/>
      <c r="F146" s="35"/>
      <c r="G146" s="6"/>
      <c r="H146" s="6"/>
      <c r="I146" s="6"/>
      <c r="J146" s="23"/>
      <c r="K146" s="37"/>
      <c r="L146" s="3"/>
      <c r="M146" s="60"/>
      <c r="N146" s="22"/>
      <c r="P146" s="30">
        <f t="shared" si="2"/>
        <v>0</v>
      </c>
    </row>
    <row r="147" spans="1:16" ht="66" customHeight="1">
      <c r="A147" s="43"/>
      <c r="B147" s="52"/>
      <c r="C147" s="51"/>
      <c r="D147" s="51"/>
      <c r="E147" s="52"/>
      <c r="F147" s="35"/>
      <c r="G147" s="6"/>
      <c r="H147" s="6"/>
      <c r="I147" s="6"/>
      <c r="J147" s="23"/>
      <c r="K147" s="37"/>
      <c r="L147" s="3"/>
      <c r="M147" s="60"/>
      <c r="N147" s="22"/>
      <c r="P147" s="30">
        <f t="shared" si="2"/>
        <v>0</v>
      </c>
    </row>
    <row r="148" spans="1:16" ht="66" customHeight="1">
      <c r="A148" s="43"/>
      <c r="B148" s="33"/>
      <c r="C148" s="51"/>
      <c r="D148" s="51"/>
      <c r="E148" s="52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32"/>
      <c r="C149" s="51"/>
      <c r="D149" s="51"/>
      <c r="E149" s="52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ref="P149:P150" si="3">ROUND(L149,0)</f>
        <v>0</v>
      </c>
    </row>
    <row r="150" spans="1:16" ht="66" customHeight="1">
      <c r="A150" s="43"/>
      <c r="B150" s="33"/>
      <c r="C150" s="51"/>
      <c r="D150" s="51"/>
      <c r="E150" s="52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3"/>
        <v>0</v>
      </c>
    </row>
    <row r="151" spans="1:16" ht="66" customHeight="1">
      <c r="A151" s="31"/>
      <c r="B151" s="32"/>
      <c r="C151" s="7"/>
      <c r="D151" s="11"/>
      <c r="E151" s="5"/>
      <c r="F151" s="35"/>
      <c r="G151" s="6"/>
      <c r="H151" s="6"/>
      <c r="I151" s="6"/>
      <c r="J151" s="6"/>
      <c r="K151" s="28"/>
      <c r="L151" s="3"/>
      <c r="M151"/>
      <c r="N151" s="22"/>
    </row>
    <row r="152" spans="1:16" ht="66" customHeight="1">
      <c r="A152" s="7"/>
      <c r="B152" s="33"/>
      <c r="C152" s="7"/>
      <c r="D152" s="11"/>
      <c r="E152" s="4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31"/>
      <c r="B154" s="32"/>
      <c r="C154" s="7"/>
      <c r="D154" s="11"/>
      <c r="E154" s="5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7"/>
      <c r="B155" s="33"/>
      <c r="C155" s="7"/>
      <c r="D155" s="11"/>
      <c r="E155" s="4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31"/>
      <c r="B156" s="32"/>
      <c r="C156" s="7"/>
      <c r="D156" s="11"/>
      <c r="E156" s="5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7"/>
      <c r="B157" s="33"/>
      <c r="C157" s="7"/>
      <c r="D157" s="11"/>
      <c r="E157" s="4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31"/>
      <c r="B158" s="32"/>
      <c r="C158" s="7"/>
      <c r="D158" s="11"/>
      <c r="E158" s="5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7"/>
      <c r="B159" s="33"/>
      <c r="C159" s="7"/>
      <c r="D159" s="11"/>
      <c r="E159" s="4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7"/>
      <c r="B163" s="33"/>
      <c r="C163" s="7"/>
      <c r="D163" s="11"/>
      <c r="E163" s="4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31"/>
      <c r="B164" s="32"/>
      <c r="C164" s="7"/>
      <c r="D164" s="11"/>
      <c r="E164" s="5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7"/>
      <c r="B165" s="33"/>
      <c r="C165" s="7"/>
      <c r="D165" s="11"/>
      <c r="E165" s="4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7"/>
      <c r="B169" s="33"/>
      <c r="C169" s="7"/>
      <c r="D169" s="11"/>
      <c r="E169" s="4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31"/>
      <c r="B170" s="32"/>
      <c r="C170" s="7"/>
      <c r="D170" s="11"/>
      <c r="E170" s="5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7"/>
      <c r="B171" s="33"/>
      <c r="C171" s="7"/>
      <c r="D171" s="11"/>
      <c r="E171" s="4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31"/>
      <c r="B172" s="32"/>
      <c r="C172" s="7"/>
      <c r="D172" s="11"/>
      <c r="E172" s="5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7"/>
      <c r="B173" s="33"/>
      <c r="C173" s="7"/>
      <c r="D173" s="11"/>
      <c r="E173" s="4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7"/>
      <c r="B190" s="33"/>
      <c r="C190" s="7"/>
      <c r="D190" s="11"/>
      <c r="E190" s="4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31"/>
      <c r="B191" s="32"/>
      <c r="C191" s="7"/>
      <c r="D191" s="11"/>
      <c r="E191" s="5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7"/>
      <c r="B192" s="33"/>
      <c r="C192" s="7"/>
      <c r="D192" s="11"/>
      <c r="E192" s="4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31"/>
      <c r="B193" s="32"/>
      <c r="C193" s="7"/>
      <c r="D193" s="11"/>
      <c r="E193" s="5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7"/>
      <c r="B194" s="33"/>
      <c r="C194" s="7"/>
      <c r="D194" s="11"/>
      <c r="E194" s="4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7"/>
      <c r="B211" s="33"/>
      <c r="C211" s="7"/>
      <c r="D211" s="11"/>
      <c r="E211" s="4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31"/>
      <c r="B212" s="32"/>
      <c r="C212" s="7"/>
      <c r="D212" s="11"/>
      <c r="E212" s="5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7"/>
      <c r="B213" s="33"/>
      <c r="C213" s="7"/>
      <c r="D213" s="11"/>
      <c r="E213" s="4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31"/>
      <c r="B214" s="32"/>
      <c r="C214" s="7"/>
      <c r="D214" s="11"/>
      <c r="E214" s="5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7"/>
      <c r="B215" s="33"/>
      <c r="C215" s="7"/>
      <c r="D215" s="11"/>
      <c r="E215" s="4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7"/>
      <c r="B232" s="33"/>
      <c r="C232" s="7"/>
      <c r="D232" s="11"/>
      <c r="E232" s="4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31"/>
      <c r="B233" s="32"/>
      <c r="C233" s="7"/>
      <c r="D233" s="11"/>
      <c r="E233" s="5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7"/>
      <c r="B234" s="33"/>
      <c r="C234" s="7"/>
      <c r="D234" s="11"/>
      <c r="E234" s="4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31"/>
      <c r="B235" s="32"/>
      <c r="C235" s="7"/>
      <c r="D235" s="11"/>
      <c r="E235" s="5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7"/>
      <c r="B236" s="33"/>
      <c r="C236" s="7"/>
      <c r="D236" s="11"/>
      <c r="E236" s="4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7"/>
      <c r="B253" s="33"/>
      <c r="C253" s="7"/>
      <c r="D253" s="11"/>
      <c r="E253" s="4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31"/>
      <c r="B254" s="32"/>
      <c r="C254" s="7"/>
      <c r="D254" s="11"/>
      <c r="E254" s="5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7"/>
      <c r="B255" s="33"/>
      <c r="C255" s="7"/>
      <c r="D255" s="11"/>
      <c r="E255" s="4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31"/>
      <c r="B256" s="32"/>
      <c r="C256" s="7"/>
      <c r="D256" s="11"/>
      <c r="E256" s="5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7"/>
      <c r="B257" s="33"/>
      <c r="C257" s="7"/>
      <c r="D257" s="11"/>
      <c r="E257" s="4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7"/>
      <c r="B274" s="33"/>
      <c r="C274" s="7"/>
      <c r="D274" s="11"/>
      <c r="E274" s="4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31"/>
      <c r="B275" s="32"/>
      <c r="C275" s="7"/>
      <c r="D275" s="11"/>
      <c r="E275" s="5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7"/>
      <c r="B276" s="33"/>
      <c r="C276" s="7"/>
      <c r="D276" s="11"/>
      <c r="E276" s="4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31"/>
      <c r="B277" s="32"/>
      <c r="C277" s="7"/>
      <c r="D277" s="11"/>
      <c r="E277" s="5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7"/>
      <c r="B278" s="33"/>
      <c r="C278" s="7"/>
      <c r="D278" s="11"/>
      <c r="E278" s="4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7"/>
      <c r="B295" s="33"/>
      <c r="C295" s="7"/>
      <c r="D295" s="11"/>
      <c r="E295" s="4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31"/>
      <c r="B296" s="32"/>
      <c r="C296" s="7"/>
      <c r="D296" s="11"/>
      <c r="E296" s="5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7"/>
      <c r="B297" s="33"/>
      <c r="C297" s="7"/>
      <c r="D297" s="11"/>
      <c r="E297" s="4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31"/>
      <c r="B298" s="32"/>
      <c r="C298" s="7"/>
      <c r="D298" s="11"/>
      <c r="E298" s="5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7"/>
      <c r="B299" s="33"/>
      <c r="C299" s="7"/>
      <c r="D299" s="11"/>
      <c r="E299" s="4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7"/>
      <c r="B316" s="33"/>
      <c r="C316" s="7"/>
      <c r="D316" s="11"/>
      <c r="E316" s="4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31"/>
      <c r="B317" s="32"/>
      <c r="C317" s="7"/>
      <c r="D317" s="11"/>
      <c r="E317" s="5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7"/>
      <c r="B318" s="33"/>
      <c r="C318" s="7"/>
      <c r="D318" s="11"/>
      <c r="E318" s="4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31"/>
      <c r="B319" s="32"/>
      <c r="C319" s="7"/>
      <c r="D319" s="11"/>
      <c r="E319" s="5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7"/>
      <c r="B320" s="33"/>
      <c r="C320" s="7"/>
      <c r="D320" s="11"/>
      <c r="E320" s="4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7"/>
      <c r="B337" s="33"/>
      <c r="C337" s="7"/>
      <c r="D337" s="11"/>
      <c r="E337" s="4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31"/>
      <c r="B338" s="32"/>
      <c r="C338" s="7"/>
      <c r="D338" s="11"/>
      <c r="E338" s="5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7"/>
      <c r="B339" s="33"/>
      <c r="C339" s="7"/>
      <c r="D339" s="11"/>
      <c r="E339" s="4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31"/>
      <c r="B340" s="32"/>
      <c r="C340" s="7"/>
      <c r="D340" s="11"/>
      <c r="E340" s="5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7"/>
      <c r="B341" s="33"/>
      <c r="C341" s="7"/>
      <c r="D341" s="11"/>
      <c r="E341" s="4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7"/>
      <c r="B358" s="33"/>
      <c r="C358" s="7"/>
      <c r="D358" s="11"/>
      <c r="E358" s="4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31"/>
      <c r="B359" s="32"/>
      <c r="C359" s="7"/>
      <c r="D359" s="11"/>
      <c r="E359" s="5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7"/>
      <c r="B360" s="33"/>
      <c r="C360" s="7"/>
      <c r="D360" s="11"/>
      <c r="E360" s="4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31"/>
      <c r="B361" s="32"/>
      <c r="C361" s="7"/>
      <c r="D361" s="11"/>
      <c r="E361" s="5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7"/>
      <c r="B362" s="33"/>
      <c r="C362" s="7"/>
      <c r="D362" s="11"/>
      <c r="E362" s="4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7"/>
      <c r="B379" s="33"/>
      <c r="C379" s="7"/>
      <c r="D379" s="11"/>
      <c r="E379" s="4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31"/>
      <c r="B380" s="32"/>
      <c r="C380" s="7"/>
      <c r="D380" s="11"/>
      <c r="E380" s="5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7"/>
      <c r="B381" s="33"/>
      <c r="C381" s="7"/>
      <c r="D381" s="11"/>
      <c r="E381" s="4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31"/>
      <c r="B382" s="32"/>
      <c r="C382" s="7"/>
      <c r="D382" s="11"/>
      <c r="E382" s="5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7"/>
      <c r="B383" s="33"/>
      <c r="C383" s="7"/>
      <c r="D383" s="11"/>
      <c r="E383" s="4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7"/>
      <c r="B400" s="33"/>
      <c r="C400" s="7"/>
      <c r="D400" s="11"/>
      <c r="E400" s="4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31"/>
      <c r="B401" s="32"/>
      <c r="C401" s="7"/>
      <c r="D401" s="11"/>
      <c r="E401" s="5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7"/>
      <c r="B402" s="33"/>
      <c r="C402" s="7"/>
      <c r="D402" s="11"/>
      <c r="E402" s="4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31"/>
      <c r="B403" s="32"/>
      <c r="C403" s="7"/>
      <c r="D403" s="11"/>
      <c r="E403" s="5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7"/>
      <c r="B404" s="33"/>
      <c r="C404" s="7"/>
      <c r="D404" s="11"/>
      <c r="E404" s="4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7"/>
      <c r="B421" s="33"/>
      <c r="C421" s="7"/>
      <c r="D421" s="11"/>
      <c r="E421" s="4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31"/>
      <c r="B422" s="32"/>
      <c r="C422" s="7"/>
      <c r="D422" s="11"/>
      <c r="E422" s="5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7"/>
      <c r="B423" s="33"/>
      <c r="C423" s="7"/>
      <c r="D423" s="11"/>
      <c r="E423" s="4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31"/>
      <c r="B424" s="32"/>
      <c r="C424" s="7"/>
      <c r="D424" s="11"/>
      <c r="E424" s="5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7"/>
      <c r="B425" s="33"/>
      <c r="C425" s="7"/>
      <c r="D425" s="11"/>
      <c r="E425" s="4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7"/>
      <c r="B442" s="33"/>
      <c r="C442" s="7"/>
      <c r="D442" s="11"/>
      <c r="E442" s="4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31"/>
      <c r="B443" s="32"/>
      <c r="C443" s="7"/>
      <c r="D443" s="11"/>
      <c r="E443" s="5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7"/>
      <c r="B444" s="33"/>
      <c r="C444" s="7"/>
      <c r="D444" s="11"/>
      <c r="E444" s="4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31"/>
      <c r="B445" s="32"/>
      <c r="C445" s="7"/>
      <c r="D445" s="11"/>
      <c r="E445" s="5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7"/>
      <c r="B446" s="33"/>
      <c r="C446" s="7"/>
      <c r="D446" s="11"/>
      <c r="E446" s="4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7"/>
      <c r="B463" s="33"/>
      <c r="C463" s="7"/>
      <c r="D463" s="11"/>
      <c r="E463" s="4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31"/>
      <c r="B464" s="32"/>
      <c r="C464" s="7"/>
      <c r="D464" s="11"/>
      <c r="E464" s="5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7"/>
      <c r="B465" s="33"/>
      <c r="C465" s="7"/>
      <c r="D465" s="11"/>
      <c r="E465" s="4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31"/>
      <c r="B466" s="32"/>
      <c r="C466" s="7"/>
      <c r="D466" s="11"/>
      <c r="E466" s="5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7"/>
      <c r="B467" s="33"/>
      <c r="C467" s="7"/>
      <c r="D467" s="11"/>
      <c r="E467" s="4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7"/>
      <c r="B484" s="33"/>
      <c r="C484" s="7"/>
      <c r="D484" s="11"/>
      <c r="E484" s="4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31"/>
      <c r="B485" s="32"/>
      <c r="C485" s="7"/>
      <c r="D485" s="11"/>
      <c r="E485" s="5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7"/>
      <c r="B486" s="33"/>
      <c r="C486" s="7"/>
      <c r="D486" s="11"/>
      <c r="E486" s="4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31"/>
      <c r="B487" s="32"/>
      <c r="C487" s="7"/>
      <c r="D487" s="11"/>
      <c r="E487" s="5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7"/>
      <c r="B488" s="33"/>
      <c r="C488" s="7"/>
      <c r="D488" s="11"/>
      <c r="E488" s="4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7"/>
      <c r="B505" s="33"/>
      <c r="C505" s="7"/>
      <c r="D505" s="11"/>
      <c r="E505" s="4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31"/>
      <c r="B506" s="32"/>
      <c r="C506" s="7"/>
      <c r="D506" s="11"/>
      <c r="E506" s="5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7"/>
      <c r="B507" s="33"/>
      <c r="C507" s="7"/>
      <c r="D507" s="11"/>
      <c r="E507" s="4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31"/>
      <c r="B508" s="32"/>
      <c r="C508" s="7"/>
      <c r="D508" s="11"/>
      <c r="E508" s="5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7"/>
      <c r="B509" s="33"/>
      <c r="C509" s="7"/>
      <c r="D509" s="11"/>
      <c r="E509" s="4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7"/>
      <c r="B526" s="33"/>
      <c r="C526" s="7"/>
      <c r="D526" s="11"/>
      <c r="E526" s="4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31"/>
      <c r="B527" s="32"/>
      <c r="C527" s="7"/>
      <c r="D527" s="11"/>
      <c r="E527" s="5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7"/>
      <c r="B528" s="33"/>
      <c r="C528" s="7"/>
      <c r="D528" s="11"/>
      <c r="E528" s="4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31"/>
      <c r="B529" s="32"/>
      <c r="C529" s="7"/>
      <c r="D529" s="11"/>
      <c r="E529" s="5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7"/>
      <c r="B530" s="33"/>
      <c r="C530" s="7"/>
      <c r="D530" s="11"/>
      <c r="E530" s="4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7"/>
      <c r="B547" s="33"/>
      <c r="C547" s="7"/>
      <c r="D547" s="11"/>
      <c r="E547" s="4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31"/>
      <c r="B548" s="32"/>
      <c r="C548" s="7"/>
      <c r="D548" s="11"/>
      <c r="E548" s="5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7"/>
      <c r="B549" s="33"/>
      <c r="C549" s="7"/>
      <c r="D549" s="11"/>
      <c r="E549" s="4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31"/>
      <c r="B550" s="32"/>
      <c r="C550" s="7"/>
      <c r="D550" s="11"/>
      <c r="E550" s="5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7"/>
      <c r="B551" s="33"/>
      <c r="C551" s="7"/>
      <c r="D551" s="11"/>
      <c r="E551" s="4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7"/>
      <c r="B568" s="33"/>
      <c r="C568" s="7"/>
      <c r="D568" s="11"/>
      <c r="E568" s="4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31"/>
      <c r="B569" s="32"/>
      <c r="C569" s="7"/>
      <c r="D569" s="11"/>
      <c r="E569" s="5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7"/>
      <c r="B570" s="33"/>
      <c r="C570" s="7"/>
      <c r="D570" s="11"/>
      <c r="E570" s="4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31"/>
      <c r="B571" s="32"/>
      <c r="C571" s="7"/>
      <c r="D571" s="11"/>
      <c r="E571" s="5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7"/>
      <c r="B572" s="33"/>
      <c r="C572" s="7"/>
      <c r="D572" s="11"/>
      <c r="E572" s="4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7"/>
      <c r="B589" s="33"/>
      <c r="C589" s="7"/>
      <c r="D589" s="11"/>
      <c r="E589" s="4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31"/>
      <c r="B590" s="32"/>
      <c r="C590" s="7"/>
      <c r="D590" s="11"/>
      <c r="E590" s="5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7"/>
      <c r="B591" s="33"/>
      <c r="C591" s="7"/>
      <c r="D591" s="11"/>
      <c r="E591" s="4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31"/>
      <c r="B592" s="32"/>
      <c r="C592" s="7"/>
      <c r="D592" s="11"/>
      <c r="E592" s="5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7"/>
      <c r="B593" s="33"/>
      <c r="C593" s="7"/>
      <c r="D593" s="11"/>
      <c r="E593" s="4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7"/>
      <c r="B610" s="33"/>
      <c r="C610" s="7"/>
      <c r="D610" s="11"/>
      <c r="E610" s="4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31"/>
      <c r="B611" s="32"/>
      <c r="C611" s="7"/>
      <c r="D611" s="11"/>
      <c r="E611" s="5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7"/>
      <c r="B612" s="33"/>
      <c r="C612" s="7"/>
      <c r="D612" s="11"/>
      <c r="E612" s="4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31"/>
      <c r="B613" s="32"/>
      <c r="C613" s="7"/>
      <c r="D613" s="11"/>
      <c r="E613" s="5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7"/>
      <c r="B614" s="33"/>
      <c r="C614" s="7"/>
      <c r="D614" s="11"/>
      <c r="E614" s="4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7"/>
      <c r="B631" s="33"/>
      <c r="C631" s="7"/>
      <c r="D631" s="11"/>
      <c r="E631" s="4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31"/>
      <c r="B632" s="32"/>
      <c r="C632" s="7"/>
      <c r="D632" s="11"/>
      <c r="E632" s="5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7"/>
      <c r="B633" s="33"/>
      <c r="C633" s="7"/>
      <c r="D633" s="11"/>
      <c r="E633" s="4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31"/>
      <c r="B634" s="32"/>
      <c r="C634" s="7"/>
      <c r="D634" s="11"/>
      <c r="E634" s="5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7"/>
      <c r="B635" s="33"/>
      <c r="C635" s="7"/>
      <c r="D635" s="11"/>
      <c r="E635" s="4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7"/>
      <c r="B652" s="33"/>
      <c r="C652" s="7"/>
      <c r="D652" s="11"/>
      <c r="E652" s="4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31"/>
      <c r="B653" s="32"/>
      <c r="C653" s="7"/>
      <c r="D653" s="11"/>
      <c r="E653" s="5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7"/>
      <c r="B654" s="33"/>
      <c r="C654" s="7"/>
      <c r="D654" s="11"/>
      <c r="E654" s="4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31"/>
      <c r="B655" s="32"/>
      <c r="C655" s="7"/>
      <c r="D655" s="11"/>
      <c r="E655" s="5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7"/>
      <c r="B656" s="33"/>
      <c r="C656" s="7"/>
      <c r="D656" s="11"/>
      <c r="E656" s="4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7"/>
      <c r="B673" s="33"/>
      <c r="C673" s="7"/>
      <c r="D673" s="11"/>
      <c r="E673" s="4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31"/>
      <c r="B674" s="32"/>
      <c r="C674" s="7"/>
      <c r="D674" s="11"/>
      <c r="E674" s="5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7"/>
      <c r="B675" s="33"/>
      <c r="C675" s="7"/>
      <c r="D675" s="11"/>
      <c r="E675" s="4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31"/>
      <c r="B676" s="32"/>
      <c r="C676" s="7"/>
      <c r="D676" s="11"/>
      <c r="E676" s="5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7"/>
      <c r="B677" s="33"/>
      <c r="C677" s="7"/>
      <c r="D677" s="11"/>
      <c r="E677" s="4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7"/>
      <c r="B694" s="33"/>
      <c r="C694" s="7"/>
      <c r="D694" s="11"/>
      <c r="E694" s="4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31"/>
      <c r="B695" s="32"/>
      <c r="C695" s="7"/>
      <c r="D695" s="11"/>
      <c r="E695" s="5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7"/>
      <c r="B696" s="33"/>
      <c r="C696" s="7"/>
      <c r="D696" s="11"/>
      <c r="E696" s="4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31"/>
      <c r="B697" s="32"/>
      <c r="C697" s="7"/>
      <c r="D697" s="11"/>
      <c r="E697" s="5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7"/>
      <c r="B698" s="33"/>
      <c r="C698" s="7"/>
      <c r="D698" s="11"/>
      <c r="E698" s="4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7"/>
      <c r="B715" s="33"/>
      <c r="C715" s="7"/>
      <c r="D715" s="11"/>
      <c r="E715" s="4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31"/>
      <c r="B716" s="32"/>
      <c r="C716" s="7"/>
      <c r="D716" s="11"/>
      <c r="E716" s="5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7"/>
      <c r="B717" s="33"/>
      <c r="C717" s="7"/>
      <c r="D717" s="11"/>
      <c r="E717" s="4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31"/>
      <c r="B718" s="32"/>
      <c r="C718" s="7"/>
      <c r="D718" s="11"/>
      <c r="E718" s="5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7"/>
      <c r="B719" s="33"/>
      <c r="C719" s="7"/>
      <c r="D719" s="11"/>
      <c r="E719" s="4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7"/>
      <c r="B736" s="33"/>
      <c r="C736" s="7"/>
      <c r="D736" s="11"/>
      <c r="E736" s="4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31"/>
      <c r="B737" s="32"/>
      <c r="C737" s="7"/>
      <c r="D737" s="11"/>
      <c r="E737" s="5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7"/>
      <c r="B738" s="33"/>
      <c r="C738" s="7"/>
      <c r="D738" s="11"/>
      <c r="E738" s="4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31"/>
      <c r="B739" s="32"/>
      <c r="C739" s="7"/>
      <c r="D739" s="11"/>
      <c r="E739" s="5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7"/>
      <c r="B740" s="33"/>
      <c r="C740" s="7"/>
      <c r="D740" s="11"/>
      <c r="E740" s="4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7"/>
      <c r="B757" s="33"/>
      <c r="C757" s="7"/>
      <c r="D757" s="11"/>
      <c r="E757" s="4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31"/>
      <c r="B758" s="32"/>
      <c r="C758" s="7"/>
      <c r="D758" s="11"/>
      <c r="E758" s="5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7"/>
      <c r="B759" s="33"/>
      <c r="C759" s="7"/>
      <c r="D759" s="11"/>
      <c r="E759" s="4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31"/>
      <c r="B760" s="32"/>
      <c r="C760" s="7"/>
      <c r="D760" s="11"/>
      <c r="E760" s="5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7"/>
      <c r="B761" s="33"/>
      <c r="C761" s="7"/>
      <c r="D761" s="11"/>
      <c r="E761" s="4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7"/>
      <c r="B778" s="33"/>
      <c r="C778" s="7"/>
      <c r="D778" s="11"/>
      <c r="E778" s="4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31"/>
      <c r="B779" s="32"/>
      <c r="C779" s="7"/>
      <c r="D779" s="11"/>
      <c r="E779" s="5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7"/>
      <c r="B780" s="33"/>
      <c r="C780" s="7"/>
      <c r="D780" s="11"/>
      <c r="E780" s="4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31"/>
      <c r="B781" s="32"/>
      <c r="C781" s="7"/>
      <c r="D781" s="11"/>
      <c r="E781" s="5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7"/>
      <c r="B782" s="33"/>
      <c r="C782" s="7"/>
      <c r="D782" s="11"/>
      <c r="E782" s="4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7"/>
      <c r="B799" s="33"/>
      <c r="C799" s="7"/>
      <c r="D799" s="11"/>
      <c r="E799" s="4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31"/>
      <c r="B800" s="32"/>
      <c r="C800" s="7"/>
      <c r="D800" s="11"/>
      <c r="E800" s="5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7"/>
      <c r="B801" s="33"/>
      <c r="C801" s="7"/>
      <c r="D801" s="11"/>
      <c r="E801" s="4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31"/>
      <c r="B802" s="32"/>
      <c r="C802" s="7"/>
      <c r="D802" s="11"/>
      <c r="E802" s="5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7"/>
      <c r="B803" s="33"/>
      <c r="C803" s="7"/>
      <c r="D803" s="11"/>
      <c r="E803" s="4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7"/>
      <c r="B820" s="33"/>
      <c r="C820" s="7"/>
      <c r="D820" s="11"/>
      <c r="E820" s="4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31"/>
      <c r="B821" s="32"/>
      <c r="C821" s="7"/>
      <c r="D821" s="11"/>
      <c r="E821" s="5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7"/>
      <c r="B822" s="33"/>
      <c r="C822" s="7"/>
      <c r="D822" s="11"/>
      <c r="E822" s="4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31"/>
      <c r="B823" s="32"/>
      <c r="C823" s="7"/>
      <c r="D823" s="11"/>
      <c r="E823" s="5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7"/>
      <c r="B824" s="33"/>
      <c r="C824" s="7"/>
      <c r="D824" s="11"/>
      <c r="E824" s="4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7"/>
      <c r="B841" s="33"/>
      <c r="C841" s="7"/>
      <c r="D841" s="11"/>
      <c r="E841" s="4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31"/>
      <c r="B842" s="32"/>
      <c r="C842" s="7"/>
      <c r="D842" s="11"/>
      <c r="E842" s="5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7"/>
      <c r="B843" s="33"/>
      <c r="C843" s="7"/>
      <c r="D843" s="11"/>
      <c r="E843" s="4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31"/>
      <c r="B844" s="32"/>
      <c r="C844" s="7"/>
      <c r="D844" s="11"/>
      <c r="E844" s="5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7"/>
      <c r="B845" s="33"/>
      <c r="C845" s="7"/>
      <c r="D845" s="11"/>
      <c r="E845" s="4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7"/>
      <c r="B862" s="33"/>
      <c r="C862" s="7"/>
      <c r="D862" s="11"/>
      <c r="E862" s="4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31"/>
      <c r="B863" s="32"/>
      <c r="C863" s="7"/>
      <c r="D863" s="11"/>
      <c r="E863" s="5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7"/>
      <c r="B864" s="33"/>
      <c r="C864" s="7"/>
      <c r="D864" s="11"/>
      <c r="E864" s="4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31"/>
      <c r="B865" s="32"/>
      <c r="C865" s="7"/>
      <c r="D865" s="11"/>
      <c r="E865" s="5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7"/>
      <c r="B866" s="33"/>
      <c r="C866" s="7"/>
      <c r="D866" s="11"/>
      <c r="E866" s="4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7"/>
      <c r="B883" s="33"/>
      <c r="C883" s="7"/>
      <c r="D883" s="11"/>
      <c r="E883" s="4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31"/>
      <c r="B884" s="32"/>
      <c r="C884" s="7"/>
      <c r="D884" s="11"/>
      <c r="E884" s="5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7"/>
      <c r="B885" s="33"/>
      <c r="C885" s="7"/>
      <c r="D885" s="11"/>
      <c r="E885" s="4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31"/>
      <c r="B886" s="32"/>
      <c r="C886" s="7"/>
      <c r="D886" s="11"/>
      <c r="E886" s="5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7"/>
      <c r="B887" s="33"/>
      <c r="C887" s="7"/>
      <c r="D887" s="11"/>
      <c r="E887" s="4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7"/>
      <c r="B904" s="33"/>
      <c r="C904" s="7"/>
      <c r="D904" s="11"/>
      <c r="E904" s="4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31"/>
      <c r="B905" s="32"/>
      <c r="C905" s="7"/>
      <c r="D905" s="11"/>
      <c r="E905" s="5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7"/>
      <c r="B906" s="33"/>
      <c r="C906" s="7"/>
      <c r="D906" s="11"/>
      <c r="E906" s="4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31"/>
      <c r="B907" s="32"/>
      <c r="C907" s="7"/>
      <c r="D907" s="11"/>
      <c r="E907" s="5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7"/>
      <c r="B908" s="33"/>
      <c r="C908" s="7"/>
      <c r="D908" s="11"/>
      <c r="E908" s="4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7"/>
      <c r="B925" s="33"/>
      <c r="C925" s="7"/>
      <c r="D925" s="11"/>
      <c r="E925" s="4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31"/>
      <c r="B926" s="32"/>
      <c r="C926" s="7"/>
      <c r="D926" s="11"/>
      <c r="E926" s="5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7"/>
      <c r="B927" s="33"/>
      <c r="C927" s="7"/>
      <c r="D927" s="11"/>
      <c r="E927" s="4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31"/>
      <c r="B928" s="32"/>
      <c r="C928" s="7"/>
      <c r="D928" s="11"/>
      <c r="E928" s="5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7"/>
      <c r="B929" s="33"/>
      <c r="C929" s="7"/>
      <c r="D929" s="11"/>
      <c r="E929" s="4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7"/>
      <c r="B946" s="33"/>
      <c r="C946" s="7"/>
      <c r="D946" s="11"/>
      <c r="E946" s="4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31"/>
      <c r="B947" s="32"/>
      <c r="C947" s="7"/>
      <c r="D947" s="11"/>
      <c r="E947" s="5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7"/>
      <c r="B948" s="33"/>
      <c r="C948" s="7"/>
      <c r="D948" s="11"/>
      <c r="E948" s="4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31"/>
      <c r="B949" s="32"/>
      <c r="C949" s="7"/>
      <c r="D949" s="11"/>
      <c r="E949" s="5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7"/>
      <c r="B950" s="33"/>
      <c r="C950" s="7"/>
      <c r="D950" s="11"/>
      <c r="E950" s="4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7"/>
      <c r="B967" s="33"/>
      <c r="C967" s="7"/>
      <c r="D967" s="11"/>
      <c r="E967" s="4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31"/>
      <c r="B968" s="32"/>
      <c r="C968" s="7"/>
      <c r="D968" s="11"/>
      <c r="E968" s="5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7"/>
      <c r="B969" s="33"/>
      <c r="C969" s="7"/>
      <c r="D969" s="11"/>
      <c r="E969" s="4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31"/>
      <c r="B970" s="32"/>
      <c r="C970" s="7"/>
      <c r="D970" s="11"/>
      <c r="E970" s="5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7"/>
      <c r="B971" s="33"/>
      <c r="C971" s="7"/>
      <c r="D971" s="11"/>
      <c r="E971" s="4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7"/>
      <c r="B988" s="33"/>
      <c r="C988" s="7"/>
      <c r="D988" s="11"/>
      <c r="E988" s="4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31"/>
      <c r="B989" s="32"/>
      <c r="C989" s="7"/>
      <c r="D989" s="11"/>
      <c r="E989" s="5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7"/>
      <c r="B990" s="33"/>
      <c r="C990" s="7"/>
      <c r="D990" s="11"/>
      <c r="E990" s="4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31"/>
      <c r="B991" s="32"/>
      <c r="C991" s="7"/>
      <c r="D991" s="11"/>
      <c r="E991" s="5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7"/>
      <c r="B992" s="33"/>
      <c r="C992" s="7"/>
      <c r="D992" s="11"/>
      <c r="E992" s="4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7"/>
      <c r="B1009" s="33"/>
      <c r="C1009" s="7"/>
      <c r="D1009" s="11"/>
      <c r="E1009" s="4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31"/>
      <c r="B1010" s="32"/>
      <c r="C1010" s="7"/>
      <c r="D1010" s="11"/>
      <c r="E1010" s="5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7"/>
      <c r="B1011" s="33"/>
      <c r="C1011" s="7"/>
      <c r="D1011" s="11"/>
      <c r="E1011" s="4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31"/>
      <c r="B1012" s="32"/>
      <c r="C1012" s="7"/>
      <c r="D1012" s="11"/>
      <c r="E1012" s="5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7"/>
      <c r="B1013" s="33"/>
      <c r="C1013" s="7"/>
      <c r="D1013" s="11"/>
      <c r="E1013" s="4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7"/>
      <c r="B1030" s="33"/>
      <c r="C1030" s="7"/>
      <c r="D1030" s="11"/>
      <c r="E1030" s="4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31"/>
      <c r="B1031" s="32"/>
      <c r="C1031" s="7"/>
      <c r="D1031" s="11"/>
      <c r="E1031" s="5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7"/>
      <c r="B1032" s="33"/>
      <c r="C1032" s="7"/>
      <c r="D1032" s="11"/>
      <c r="E1032" s="4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31"/>
      <c r="B1033" s="32"/>
      <c r="C1033" s="7"/>
      <c r="D1033" s="11"/>
      <c r="E1033" s="5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7"/>
      <c r="B1034" s="33"/>
      <c r="C1034" s="7"/>
      <c r="D1034" s="11"/>
      <c r="E1034" s="4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7"/>
      <c r="B1051" s="33"/>
      <c r="C1051" s="7"/>
      <c r="D1051" s="11"/>
      <c r="E1051" s="4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31"/>
      <c r="B1052" s="32"/>
      <c r="C1052" s="7"/>
      <c r="D1052" s="11"/>
      <c r="E1052" s="5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7"/>
      <c r="B1053" s="33"/>
      <c r="C1053" s="7"/>
      <c r="D1053" s="11"/>
      <c r="E1053" s="4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31"/>
      <c r="B1054" s="32"/>
      <c r="C1054" s="7"/>
      <c r="D1054" s="11"/>
      <c r="E1054" s="5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7"/>
      <c r="B1055" s="33"/>
      <c r="C1055" s="7"/>
      <c r="D1055" s="11"/>
      <c r="E1055" s="4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7"/>
      <c r="B1072" s="33"/>
      <c r="C1072" s="7"/>
      <c r="D1072" s="11"/>
      <c r="E1072" s="4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31"/>
      <c r="B1073" s="32"/>
      <c r="C1073" s="7"/>
      <c r="D1073" s="11"/>
      <c r="E1073" s="5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7"/>
      <c r="B1074" s="33"/>
      <c r="C1074" s="7"/>
      <c r="D1074" s="11"/>
      <c r="E1074" s="4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31"/>
      <c r="B1075" s="32"/>
      <c r="C1075" s="7"/>
      <c r="D1075" s="11"/>
      <c r="E1075" s="5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7"/>
      <c r="B1076" s="33"/>
      <c r="C1076" s="7"/>
      <c r="D1076" s="11"/>
      <c r="E1076" s="4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7"/>
      <c r="B1093" s="33"/>
      <c r="C1093" s="7"/>
      <c r="D1093" s="11"/>
      <c r="E1093" s="4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31"/>
      <c r="B1094" s="32"/>
      <c r="C1094" s="7"/>
      <c r="D1094" s="11"/>
      <c r="E1094" s="5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7"/>
      <c r="B1095" s="33"/>
      <c r="C1095" s="7"/>
      <c r="D1095" s="11"/>
      <c r="E1095" s="4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31"/>
      <c r="B1096" s="32"/>
      <c r="C1096" s="7"/>
      <c r="D1096" s="11"/>
      <c r="E1096" s="5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7"/>
      <c r="B1097" s="33"/>
      <c r="C1097" s="7"/>
      <c r="D1097" s="11"/>
      <c r="E1097" s="4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7"/>
      <c r="B1114" s="33"/>
      <c r="C1114" s="7"/>
      <c r="D1114" s="11"/>
      <c r="E1114" s="4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31"/>
      <c r="B1115" s="32"/>
      <c r="C1115" s="7"/>
      <c r="D1115" s="11"/>
      <c r="E1115" s="5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7"/>
      <c r="B1116" s="33"/>
      <c r="C1116" s="7"/>
      <c r="D1116" s="11"/>
      <c r="E1116" s="4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31"/>
      <c r="B1117" s="32"/>
      <c r="C1117" s="7"/>
      <c r="D1117" s="11"/>
      <c r="E1117" s="5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7"/>
      <c r="B1118" s="33"/>
      <c r="C1118" s="7"/>
      <c r="D1118" s="11"/>
      <c r="E1118" s="4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7"/>
      <c r="B1135" s="33"/>
      <c r="C1135" s="7"/>
      <c r="D1135" s="11"/>
      <c r="E1135" s="4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31"/>
      <c r="B1136" s="32"/>
      <c r="C1136" s="7"/>
      <c r="D1136" s="11"/>
      <c r="E1136" s="5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7"/>
      <c r="B1137" s="33"/>
      <c r="C1137" s="7"/>
      <c r="D1137" s="11"/>
      <c r="E1137" s="4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31"/>
      <c r="B1138" s="32"/>
      <c r="C1138" s="7"/>
      <c r="D1138" s="11"/>
      <c r="E1138" s="5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7"/>
      <c r="B1139" s="33"/>
      <c r="C1139" s="7"/>
      <c r="D1139" s="11"/>
      <c r="E1139" s="4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7"/>
      <c r="B1156" s="33"/>
      <c r="C1156" s="7"/>
      <c r="D1156" s="11"/>
      <c r="E1156" s="4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31"/>
      <c r="B1157" s="32"/>
      <c r="C1157" s="7"/>
      <c r="D1157" s="11"/>
      <c r="E1157" s="5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7"/>
      <c r="B1158" s="33"/>
      <c r="C1158" s="7"/>
      <c r="D1158" s="11"/>
      <c r="E1158" s="4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31"/>
      <c r="B1159" s="32"/>
      <c r="C1159" s="7"/>
      <c r="D1159" s="11"/>
      <c r="E1159" s="5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7"/>
      <c r="B1160" s="33"/>
      <c r="C1160" s="7"/>
      <c r="D1160" s="11"/>
      <c r="E1160" s="4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7"/>
      <c r="B1177" s="33"/>
      <c r="C1177" s="7"/>
      <c r="D1177" s="11"/>
      <c r="E1177" s="4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31"/>
      <c r="B1178" s="32"/>
      <c r="C1178" s="7"/>
      <c r="D1178" s="11"/>
      <c r="E1178" s="5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7"/>
      <c r="B1179" s="33"/>
      <c r="C1179" s="7"/>
      <c r="D1179" s="11"/>
      <c r="E1179" s="4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31"/>
      <c r="B1180" s="32"/>
      <c r="C1180" s="7"/>
      <c r="D1180" s="11"/>
      <c r="E1180" s="5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7"/>
      <c r="B1181" s="33"/>
      <c r="C1181" s="7"/>
      <c r="D1181" s="11"/>
      <c r="E1181" s="4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7"/>
      <c r="B1198" s="33"/>
      <c r="C1198" s="7"/>
      <c r="D1198" s="11"/>
      <c r="E1198" s="4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31"/>
      <c r="B1199" s="32"/>
      <c r="C1199" s="7"/>
      <c r="D1199" s="11"/>
      <c r="E1199" s="5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7"/>
      <c r="B1200" s="33"/>
      <c r="C1200" s="7"/>
      <c r="D1200" s="11"/>
      <c r="E1200" s="4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31"/>
      <c r="B1201" s="32"/>
      <c r="C1201" s="7"/>
      <c r="D1201" s="11"/>
      <c r="E1201" s="5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7"/>
      <c r="B1202" s="33"/>
      <c r="C1202" s="7"/>
      <c r="D1202" s="11"/>
      <c r="E1202" s="4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</sheetData>
  <conditionalFormatting sqref="C42:C47 C50:C1048576 C1:C35">
    <cfRule type="duplicateValues" dxfId="64" priority="228"/>
  </conditionalFormatting>
  <conditionalFormatting sqref="L1:L1048576">
    <cfRule type="duplicateValues" dxfId="63" priority="181"/>
  </conditionalFormatting>
  <conditionalFormatting sqref="C3:C5">
    <cfRule type="duplicateValues" dxfId="62" priority="162"/>
  </conditionalFormatting>
  <conditionalFormatting sqref="C6:C16">
    <cfRule type="duplicateValues" dxfId="61" priority="161"/>
  </conditionalFormatting>
  <conditionalFormatting sqref="C10:C16">
    <cfRule type="duplicateValues" dxfId="60" priority="160"/>
  </conditionalFormatting>
  <conditionalFormatting sqref="C13:C16">
    <cfRule type="duplicateValues" dxfId="59" priority="159"/>
  </conditionalFormatting>
  <conditionalFormatting sqref="C2">
    <cfRule type="duplicateValues" dxfId="58" priority="153"/>
  </conditionalFormatting>
  <conditionalFormatting sqref="C4:C5">
    <cfRule type="duplicateValues" dxfId="57" priority="151"/>
  </conditionalFormatting>
  <conditionalFormatting sqref="C7:C9">
    <cfRule type="duplicateValues" dxfId="56" priority="150"/>
  </conditionalFormatting>
  <conditionalFormatting sqref="C15:C16">
    <cfRule type="duplicateValues" dxfId="55" priority="149"/>
  </conditionalFormatting>
  <conditionalFormatting sqref="K2:K19">
    <cfRule type="containsErrors" dxfId="54" priority="146" stopIfTrue="1">
      <formula>ISERROR('G:\EXPORT 16TH MAY 2018\[161 GOLD ORDER SHEET 16TH MAY 2018.xls]RINGS'!A1)</formula>
    </cfRule>
  </conditionalFormatting>
  <conditionalFormatting sqref="K2:K19">
    <cfRule type="containsErrors" dxfId="53" priority="145" stopIfTrue="1">
      <formula>ISERROR('G:\EXPORT 16TH MAY 2018\[161 GOLD ORDER SHEET 16TH MAY 2018.xls]RINGS'!A1)</formula>
    </cfRule>
  </conditionalFormatting>
  <conditionalFormatting sqref="K2:K19">
    <cfRule type="containsErrors" dxfId="52" priority="144" stopIfTrue="1">
      <formula>ISERROR('G:\EXPORT 16TH MAY 2018\[161 GOLD ORDER SHEET 16TH MAY 2018.xls]RINGS'!A1)</formula>
    </cfRule>
  </conditionalFormatting>
  <conditionalFormatting sqref="K2:K19">
    <cfRule type="cellIs" dxfId="51" priority="143" operator="equal">
      <formula>0</formula>
    </cfRule>
  </conditionalFormatting>
  <conditionalFormatting sqref="B41:B65286">
    <cfRule type="duplicateValues" dxfId="50" priority="242" stopIfTrue="1"/>
  </conditionalFormatting>
  <conditionalFormatting sqref="C20:C35 C42">
    <cfRule type="duplicateValues" dxfId="49" priority="284"/>
  </conditionalFormatting>
  <conditionalFormatting sqref="C2">
    <cfRule type="duplicateValues" dxfId="48" priority="58"/>
  </conditionalFormatting>
  <conditionalFormatting sqref="C2:C16">
    <cfRule type="duplicateValues" dxfId="47" priority="291"/>
  </conditionalFormatting>
  <conditionalFormatting sqref="C2:C19">
    <cfRule type="duplicateValues" dxfId="46" priority="293"/>
  </conditionalFormatting>
  <conditionalFormatting sqref="C2:C40">
    <cfRule type="duplicateValues" dxfId="45" priority="299"/>
  </conditionalFormatting>
  <conditionalFormatting sqref="B2:B7">
    <cfRule type="duplicateValues" dxfId="44" priority="45" stopIfTrue="1"/>
  </conditionalFormatting>
  <conditionalFormatting sqref="C50:C52">
    <cfRule type="duplicateValues" dxfId="43" priority="44"/>
  </conditionalFormatting>
  <conditionalFormatting sqref="C50:C52">
    <cfRule type="duplicateValues" dxfId="42" priority="43"/>
  </conditionalFormatting>
  <conditionalFormatting sqref="C50:C52">
    <cfRule type="duplicateValues" dxfId="41" priority="42"/>
  </conditionalFormatting>
  <conditionalFormatting sqref="B50:B52">
    <cfRule type="duplicateValues" dxfId="40" priority="41" stopIfTrue="1"/>
  </conditionalFormatting>
  <conditionalFormatting sqref="C50:C52">
    <cfRule type="duplicateValues" dxfId="39" priority="40"/>
  </conditionalFormatting>
  <conditionalFormatting sqref="C50:C52">
    <cfRule type="duplicateValues" dxfId="38" priority="39"/>
  </conditionalFormatting>
  <conditionalFormatting sqref="C50:C52">
    <cfRule type="duplicateValues" dxfId="37" priority="38"/>
  </conditionalFormatting>
  <conditionalFormatting sqref="C50:C52">
    <cfRule type="duplicateValues" dxfId="36" priority="37"/>
  </conditionalFormatting>
  <conditionalFormatting sqref="C53:C58">
    <cfRule type="duplicateValues" dxfId="35" priority="36"/>
  </conditionalFormatting>
  <conditionalFormatting sqref="L53:L58">
    <cfRule type="duplicateValues" dxfId="34" priority="35"/>
  </conditionalFormatting>
  <conditionalFormatting sqref="C54:C56">
    <cfRule type="duplicateValues" dxfId="33" priority="34"/>
  </conditionalFormatting>
  <conditionalFormatting sqref="C57:C58">
    <cfRule type="duplicateValues" dxfId="32" priority="33"/>
  </conditionalFormatting>
  <conditionalFormatting sqref="C53">
    <cfRule type="duplicateValues" dxfId="31" priority="32"/>
  </conditionalFormatting>
  <conditionalFormatting sqref="C55:C56">
    <cfRule type="duplicateValues" dxfId="30" priority="31"/>
  </conditionalFormatting>
  <conditionalFormatting sqref="C58">
    <cfRule type="duplicateValues" dxfId="29" priority="30"/>
  </conditionalFormatting>
  <conditionalFormatting sqref="K53:K58">
    <cfRule type="containsErrors" dxfId="28" priority="29" stopIfTrue="1">
      <formula>ISERROR('G:\EXPORT 16TH MAY 2018\[161 GOLD ORDER SHEET 16TH MAY 2018.xls]RINGS'!A1)</formula>
    </cfRule>
  </conditionalFormatting>
  <conditionalFormatting sqref="K53:K58">
    <cfRule type="containsErrors" dxfId="27" priority="28" stopIfTrue="1">
      <formula>ISERROR('G:\EXPORT 16TH MAY 2018\[161 GOLD ORDER SHEET 16TH MAY 2018.xls]RINGS'!A1)</formula>
    </cfRule>
  </conditionalFormatting>
  <conditionalFormatting sqref="K53:K58">
    <cfRule type="containsErrors" dxfId="26" priority="27" stopIfTrue="1">
      <formula>ISERROR('G:\EXPORT 16TH MAY 2018\[161 GOLD ORDER SHEET 16TH MAY 2018.xls]RINGS'!A1)</formula>
    </cfRule>
  </conditionalFormatting>
  <conditionalFormatting sqref="K53:K58">
    <cfRule type="cellIs" dxfId="25" priority="26" operator="equal">
      <formula>0</formula>
    </cfRule>
  </conditionalFormatting>
  <conditionalFormatting sqref="C53">
    <cfRule type="duplicateValues" dxfId="24" priority="25"/>
  </conditionalFormatting>
  <conditionalFormatting sqref="C53:C58">
    <cfRule type="duplicateValues" dxfId="23" priority="24"/>
  </conditionalFormatting>
  <conditionalFormatting sqref="C53:C58">
    <cfRule type="duplicateValues" dxfId="22" priority="23"/>
  </conditionalFormatting>
  <conditionalFormatting sqref="C53:C58">
    <cfRule type="duplicateValues" dxfId="21" priority="22"/>
  </conditionalFormatting>
  <conditionalFormatting sqref="B53:B58">
    <cfRule type="duplicateValues" dxfId="20" priority="21" stopIfTrue="1"/>
  </conditionalFormatting>
  <conditionalFormatting sqref="C2:C12">
    <cfRule type="duplicateValues" dxfId="19" priority="20"/>
  </conditionalFormatting>
  <conditionalFormatting sqref="K2:K12">
    <cfRule type="containsErrors" dxfId="18" priority="19" stopIfTrue="1">
      <formula>ISERROR('\Users\USER\Documents\Downloads\[161 GOLD ORDER SHEET 16TH MAY 2018 (2).xls]RINGS'!A1)</formula>
    </cfRule>
  </conditionalFormatting>
  <conditionalFormatting sqref="K2:K12">
    <cfRule type="containsErrors" dxfId="17" priority="18" stopIfTrue="1">
      <formula>ISERROR('\Users\USER\Documents\Downloads\[161 GOLD ORDER SHEET 16TH MAY 2018 (2).xls]RINGS'!A1)</formula>
    </cfRule>
  </conditionalFormatting>
  <conditionalFormatting sqref="K2:K12">
    <cfRule type="containsErrors" dxfId="16" priority="17" stopIfTrue="1">
      <formula>ISERROR('\Users\USER\Documents\Downloads\[161 GOLD ORDER SHEET 16TH MAY 2018 (2).xls]RINGS'!A1)</formula>
    </cfRule>
  </conditionalFormatting>
  <conditionalFormatting sqref="K2:K12">
    <cfRule type="cellIs" dxfId="15" priority="16" operator="equal">
      <formula>0</formula>
    </cfRule>
  </conditionalFormatting>
  <conditionalFormatting sqref="H2:H9">
    <cfRule type="containsErrors" dxfId="14" priority="15" stopIfTrue="1">
      <formula>ISERROR('[Copy of 161 GOLD ORDER SHEET 23RD juLY  2018.xls]EXPORT FILE'!A1)</formula>
    </cfRule>
  </conditionalFormatting>
  <conditionalFormatting sqref="H2:H9">
    <cfRule type="containsErrors" dxfId="13" priority="14" stopIfTrue="1">
      <formula>ISERROR('[Copy of 161 GOLD ORDER SHEET 23RD juLY  2018.xls]EXPORT FILE'!A1)</formula>
    </cfRule>
  </conditionalFormatting>
  <conditionalFormatting sqref="H2:H9">
    <cfRule type="containsErrors" dxfId="12" priority="13" stopIfTrue="1">
      <formula>ISERROR('[Copy of 161 GOLD ORDER SHEET 23RD juLY  2018.xls]EXPORT FILE'!A1)</formula>
    </cfRule>
  </conditionalFormatting>
  <conditionalFormatting sqref="H2:H9">
    <cfRule type="cellIs" dxfId="11" priority="12" operator="equal">
      <formula>0</formula>
    </cfRule>
  </conditionalFormatting>
  <conditionalFormatting sqref="K2:K9">
    <cfRule type="containsErrors" dxfId="10" priority="11" stopIfTrue="1">
      <formula>ISERROR('[Copy of 161 GOLD ORDER SHEET 23RD juLY  2018.xls]EXPORT FILE'!A1)</formula>
    </cfRule>
  </conditionalFormatting>
  <conditionalFormatting sqref="K2:K9">
    <cfRule type="containsErrors" dxfId="9" priority="10" stopIfTrue="1">
      <formula>ISERROR('[Copy of 161 GOLD ORDER SHEET 23RD juLY  2018.xls]EXPORT FILE'!A1)</formula>
    </cfRule>
  </conditionalFormatting>
  <conditionalFormatting sqref="K2:K9">
    <cfRule type="containsErrors" dxfId="8" priority="9" stopIfTrue="1">
      <formula>ISERROR('[Copy of 161 GOLD ORDER SHEET 23RD juLY  2018.xls]EXPORT FILE'!A1)</formula>
    </cfRule>
  </conditionalFormatting>
  <conditionalFormatting sqref="K2:K9">
    <cfRule type="cellIs" dxfId="7" priority="8" operator="equal">
      <formula>0</formula>
    </cfRule>
  </conditionalFormatting>
  <conditionalFormatting sqref="I7">
    <cfRule type="containsErrors" dxfId="6" priority="7" stopIfTrue="1">
      <formula>ISERROR('[Copy of 161 GOLD ORDER SHEET 23RD juLY  2018.xls]EXPORT FILE'!A1)</formula>
    </cfRule>
  </conditionalFormatting>
  <conditionalFormatting sqref="I7">
    <cfRule type="containsErrors" dxfId="5" priority="6" stopIfTrue="1">
      <formula>ISERROR('[Copy of 161 GOLD ORDER SHEET 23RD juLY  2018.xls]EXPORT FILE'!A1)</formula>
    </cfRule>
  </conditionalFormatting>
  <conditionalFormatting sqref="I7">
    <cfRule type="containsErrors" dxfId="4" priority="5" stopIfTrue="1">
      <formula>ISERROR('[Copy of 161 GOLD ORDER SHEET 23RD juLY  2018.xls]EXPORT FILE'!A1)</formula>
    </cfRule>
  </conditionalFormatting>
  <conditionalFormatting sqref="I7">
    <cfRule type="cellIs" dxfId="3" priority="4" operator="equal">
      <formula>0</formula>
    </cfRule>
  </conditionalFormatting>
  <conditionalFormatting sqref="G2:G7">
    <cfRule type="containsErrors" dxfId="2" priority="3" stopIfTrue="1">
      <formula>ISERROR('[Copy of 161 GOLD ORDER SHEET 23RD juLY  2018.xls]EXPORT FILE'!A1)</formula>
    </cfRule>
  </conditionalFormatting>
  <conditionalFormatting sqref="G2:G7">
    <cfRule type="cellIs" dxfId="1" priority="2" operator="equal">
      <formula>0</formula>
    </cfRule>
  </conditionalFormatting>
  <conditionalFormatting sqref="C2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2018-08-17T12:44:20Z</dcterms:modified>
</cp:coreProperties>
</file>